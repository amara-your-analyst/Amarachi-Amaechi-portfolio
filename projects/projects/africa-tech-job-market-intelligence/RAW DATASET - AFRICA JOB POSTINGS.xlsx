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ET" sheetId="1" r:id="rId5"/>
    <sheet state="visible" name="DATA ENTRY INFO" sheetId="2" r:id="rId6"/>
  </sheets>
  <definedNames>
    <definedName hidden="1" localSheetId="0" name="_xlnm._FilterDatabase">'DATA SET'!$A$1:$S$140</definedName>
    <definedName hidden="1" localSheetId="0" name="Z_14AFC889_F64C_4FDB_9C0E_22EA26113EF7_.wvu.FilterData">'DATA SET'!$U$6</definedName>
  </definedNames>
  <calcPr/>
  <customWorkbookViews>
    <customWorkbookView activeSheetId="0" maximized="1" windowHeight="0" windowWidth="0" guid="{14AFC889-F64C-4FDB-9C0E-22EA26113EF7}" name="Filter 1"/>
  </customWorkbookViews>
</workbook>
</file>

<file path=xl/sharedStrings.xml><?xml version="1.0" encoding="utf-8"?>
<sst xmlns="http://schemas.openxmlformats.org/spreadsheetml/2006/main" count="2579" uniqueCount="1469">
  <si>
    <t>DATA ENTRY</t>
  </si>
  <si>
    <t>S/N</t>
  </si>
  <si>
    <t>JOB TITLE</t>
  </si>
  <si>
    <t>COMPANY</t>
  </si>
  <si>
    <t>COUNTRY</t>
  </si>
  <si>
    <t>INSTRUCTIONS</t>
  </si>
  <si>
    <t>WORK MODE</t>
  </si>
  <si>
    <t>RESEARCH DATE</t>
  </si>
  <si>
    <t>TOOLS</t>
  </si>
  <si>
    <t>SKILL</t>
  </si>
  <si>
    <t>QUALIFICATION</t>
  </si>
  <si>
    <t>DATA ENTRY OFFICER</t>
  </si>
  <si>
    <t>SALARY RANGE</t>
  </si>
  <si>
    <t>RESEARCHER'S NAME</t>
  </si>
  <si>
    <t>INDUSTRY</t>
  </si>
  <si>
    <t>TRACK</t>
  </si>
  <si>
    <t>COMPANY'S CONTACT</t>
  </si>
  <si>
    <t>COMPANY'S EMAIL</t>
  </si>
  <si>
    <t>ONLY INPUT VERIFIED JOB POSTING</t>
  </si>
  <si>
    <t>COMPANY'S ADDRESS</t>
  </si>
  <si>
    <t>EMMANUEL SAMUEL</t>
  </si>
  <si>
    <t>ALABI FARUK, FAITH ATOGUN</t>
  </si>
  <si>
    <t>COMPANY'S SOCIAL</t>
  </si>
  <si>
    <t>DONE</t>
  </si>
  <si>
    <t>AFRIMENT CHANCE RATE</t>
  </si>
  <si>
    <t>IF THE DATA IS INCOMPLETE, PLEASE REACH OUT TO AMARA TO ADDRESS THE RESEARCHER</t>
  </si>
  <si>
    <t>SOURCE URL</t>
  </si>
  <si>
    <t>SOURCE</t>
  </si>
  <si>
    <t xml:space="preserve">JONATHAN CHIOMA </t>
  </si>
  <si>
    <t>AJIBOYE PIUS, JOSEPH HAPPINESS</t>
  </si>
  <si>
    <t>Analyst, Desk &amp; Reporting Market Risk</t>
  </si>
  <si>
    <t xml:space="preserve">OLABISI ADEYEMO </t>
  </si>
  <si>
    <t>ALUKO FAVOUR, HAFSAT SULYMAN</t>
  </si>
  <si>
    <t>Liberty Group Limited</t>
  </si>
  <si>
    <t>South Africa</t>
  </si>
  <si>
    <t>Full-time</t>
  </si>
  <si>
    <t xml:space="preserve">FAITH ATOGUN </t>
  </si>
  <si>
    <t>AMARACHI AMEACHI, DURU RUTH</t>
  </si>
  <si>
    <t>Market Risk Reporting; Data Analysis</t>
  </si>
  <si>
    <t>Data Analysis; Risk Reporting; Written Communication</t>
  </si>
  <si>
    <t>UDEH-EDO FAVOUR</t>
  </si>
  <si>
    <t>First Degree (Mathematical Sciences)</t>
  </si>
  <si>
    <t>(</t>
  </si>
  <si>
    <t>Banking</t>
  </si>
  <si>
    <t>HAFSAT SULYMAN, EDO FAVOUR</t>
  </si>
  <si>
    <t>086010907, 0860012300,</t>
  </si>
  <si>
    <t>BCBEnterprisedirect@standardbank.co.za</t>
  </si>
  <si>
    <t>HAFSAT SULYMAN</t>
  </si>
  <si>
    <t>1 Ameshoff Street, Johannesburg</t>
  </si>
  <si>
    <t>JONATHAN CHIOMA, OKPARA RIGHTEOUS</t>
  </si>
  <si>
    <t>AMARACHI AMEACHI</t>
  </si>
  <si>
    <t>FAITH ATOGUN</t>
  </si>
  <si>
    <t>https://www.standardbank.com/sbg/standard-bank-group/careers/apply/jobs/view-all-jobs/job-detail?jobID=744000135496529</t>
  </si>
  <si>
    <t>Stock Analyst</t>
  </si>
  <si>
    <t>takealot.com</t>
  </si>
  <si>
    <t>SQL; Excel; Google BigQuery; KNIME; Alteryx; Dataform</t>
  </si>
  <si>
    <t>SQL; Data Analysis; Inventory Planning</t>
  </si>
  <si>
    <t>Bachelor's Degree</t>
  </si>
  <si>
    <t>E-commerce</t>
  </si>
  <si>
    <r>
      <rPr>
        <rFont val="&quot;Times New Roman&quot;,serif"/>
        <color rgb="FF1155CC"/>
        <sz val="12.0"/>
        <u/>
      </rPr>
      <t>https://www.instagram.com/takealotcom</t>
    </r>
  </si>
  <si>
    <t>https://www.takealot.com/careers/jobs/7491181</t>
  </si>
  <si>
    <t>Africa Talent by Deloitte - IRL Data Analytics / Data Engineer - Consultant</t>
  </si>
  <si>
    <t>Deloitte</t>
  </si>
  <si>
    <t>Hybrid</t>
  </si>
  <si>
    <t>SQL; Python; Azure</t>
  </si>
  <si>
    <t>Data Analytics; Data Engineering</t>
  </si>
  <si>
    <t>Professional Services</t>
  </si>
  <si>
    <t>https://www.deloitte.com</t>
  </si>
  <si>
    <t>5 Magwa Cres, Midrand, 2090</t>
  </si>
  <si>
    <t>https://jobs.smartrecruiters.com/Deloitte6/744000133375779-africa-talent-by-deloitte-irl-data-analytics-data-engineer-consultant</t>
  </si>
  <si>
    <t>Africa Talent by Deloitte - Consultant AI Assurance NL</t>
  </si>
  <si>
    <t>AI; Python; Data Analytics</t>
  </si>
  <si>
    <t>AI Assurance; Risk; Communication</t>
  </si>
  <si>
    <t>https://jobs.smartrecruiters.com/Deloitte6/744000129999945-africa-talent-by-deloitte-consultant-ai-assurance-nl</t>
  </si>
  <si>
    <t>SAP BTP Analyst</t>
  </si>
  <si>
    <t>SAP BTP; SAP Integration Suite; SAP CAP; Cloud Foundry; ReactJS; Azure Logic Apps</t>
  </si>
  <si>
    <t>SAP BTP; Integration; APIs; Cloud; Troubleshooting</t>
  </si>
  <si>
    <t>Degree/National Diploma IT</t>
  </si>
  <si>
    <t>Consulting</t>
  </si>
  <si>
    <t>https://jobs.smartrecruiters.com/Deloitte6/744000129700739-sap-btp-analyst</t>
  </si>
  <si>
    <t>Software Developer Lead</t>
  </si>
  <si>
    <t>C#; R; Java; C++; Git; Docker; Kubernetes</t>
  </si>
  <si>
    <t>Software Development; OOP; Problem-solving</t>
  </si>
  <si>
    <t>5 Magwa Crescent, Johannesburg</t>
  </si>
  <si>
    <t>https://jobs.smartrecruiters.com/Deloitte6/744000098073158-software-developer-lead</t>
  </si>
  <si>
    <t>Commercial Intelligence Analyst</t>
  </si>
  <si>
    <t>Ozow</t>
  </si>
  <si>
    <t>Salesforce; Excel; Hunter.io; BuiltWith; Outreach.io; Python</t>
  </si>
  <si>
    <t>Data Analysis; CRM; Excel; Data Cleaning</t>
  </si>
  <si>
    <t>Not specified</t>
  </si>
  <si>
    <t>Fintech</t>
  </si>
  <si>
    <r>
      <rPr>
        <color rgb="FF1155CC"/>
        <u/>
      </rPr>
      <t>info@ozow.com</t>
    </r>
  </si>
  <si>
    <t>Cape Town</t>
  </si>
  <si>
    <t>https://job-boards.greenhouse.io/ozow/jobs/7753184003</t>
  </si>
  <si>
    <t>Junior Frontend Developer</t>
  </si>
  <si>
    <t>CAMSOL TECHNOLOGIES</t>
  </si>
  <si>
    <t>Cameroon</t>
  </si>
  <si>
    <t>full-time</t>
  </si>
  <si>
    <t>React, HTML, CSS, and JavaScript, Git</t>
  </si>
  <si>
    <t xml:space="preserve">code reviews, Debugging, API integration, </t>
  </si>
  <si>
    <t>Bachelor's degree or bootcamp graduate</t>
  </si>
  <si>
    <t>300,000 - 500,000 FCFA/month</t>
  </si>
  <si>
    <t>Technology / Software Development</t>
  </si>
  <si>
    <t>237 653 255 476</t>
  </si>
  <si>
    <t>info@camsoltechnology.com</t>
  </si>
  <si>
    <t>Douala, Cameroon</t>
  </si>
  <si>
    <t>Emmanuel Abiata-Samuel</t>
  </si>
  <si>
    <r>
      <rPr>
        <rFont val="Arial,sans-serif"/>
        <color rgb="FF1155CC"/>
        <sz val="11.0"/>
        <u/>
      </rPr>
      <t>https://www.camsoltechnology.com/careers/junior-frontend-developer</t>
    </r>
  </si>
  <si>
    <t>Junior Quality Assurance Engineer (Test)</t>
  </si>
  <si>
    <t>PaySika</t>
  </si>
  <si>
    <t>On site</t>
  </si>
  <si>
    <t>Selenium, Appium, Cypress, Pytest, Maestro, Docker, Git, CI/CD</t>
  </si>
  <si>
    <t>Manual Testing, Regression Testing, Defect Tracking, Test Case Writing, SQL, Agile/Scrum, Communication Skills, Problem Solving</t>
  </si>
  <si>
    <t>Not Specified</t>
  </si>
  <si>
    <t>FinTech</t>
  </si>
  <si>
    <t>33 7 66 59 27 26</t>
  </si>
  <si>
    <t>jobs@paysika.co</t>
  </si>
  <si>
    <r>
      <rPr>
        <rFont val="Arial,sans-serif"/>
        <color rgb="FF1155CC"/>
        <sz val="11.0"/>
        <u/>
      </rPr>
      <t>https://aide.paysika.co/en/article/job-offer-junior-quality-assurance-engineer-1xv2c0p/</t>
    </r>
  </si>
  <si>
    <t>Operations &amp; Delivery Cybersecurity</t>
  </si>
  <si>
    <t>ENIX SARL</t>
  </si>
  <si>
    <t>SIEM, EDR, penetration tests and cybersecurity governance.</t>
  </si>
  <si>
    <t>ITIL, PRINCE2/Agile, ISO 27001 Lead Implementer.</t>
  </si>
  <si>
    <t>CyberTech/Edtech</t>
  </si>
  <si>
    <t>https://enixcompany.com/contactus</t>
  </si>
  <si>
    <t xml:space="preserve">sales@enix.cm, contact@enix.cm </t>
  </si>
  <si>
    <t>Biyemassi, Yaoundé &amp; Douala — Cameroun</t>
  </si>
  <si>
    <t>JONATHAN CHIOMA</t>
  </si>
  <si>
    <t>AMARACHI AMAECHI</t>
  </si>
  <si>
    <t>https://enixcompany.com/jobs/charge-des-operations-delivery-cybersecurite-8</t>
  </si>
  <si>
    <t>Graphic Designer</t>
  </si>
  <si>
    <t>Eny Consulting Group Inc</t>
  </si>
  <si>
    <t>Nigeria</t>
  </si>
  <si>
    <t>Photoshop, Adobe Illustrator, Canva etc.</t>
  </si>
  <si>
    <t>strategic and creative mindset.</t>
  </si>
  <si>
    <t>https://www.enyconsulting.ca/contact</t>
  </si>
  <si>
    <t>info@enyconsulting.ca, assistant@enoeka.com</t>
  </si>
  <si>
    <t>Victoria Island Lagos Nigeria</t>
  </si>
  <si>
    <t>https://linkedin.com/company/enyconsultinginc, https://instagram.com/enyconsulting</t>
  </si>
  <si>
    <t>https://ng.indeed.com/jobs?q=graphic+design+entry+level&amp;l=Nigeria&amp;from=searchOnDesktopSerp%2Cwhatautocomplete%2CwhatautocompleteSourceStandard%2Cwhereautocomplete&amp;vjk=81ae3784339fd934</t>
  </si>
  <si>
    <t>Customer Service Representative</t>
  </si>
  <si>
    <t>Oze</t>
  </si>
  <si>
    <t>GHANA</t>
  </si>
  <si>
    <t>CRM tools</t>
  </si>
  <si>
    <t xml:space="preserve">Fluent French and English, spoken and written, SaaS support </t>
  </si>
  <si>
    <t>Bachelor's degree</t>
  </si>
  <si>
    <t>Tech/business consulting</t>
  </si>
  <si>
    <t>233 59 699 3502 | +233 54 575 0476</t>
  </si>
  <si>
    <t>F 393/4 Otswe Street, Ako-Adjei, Accra, Ghana</t>
  </si>
  <si>
    <t>https://www.linkedin.com/company/ozeapp/, https://x.com/oze</t>
  </si>
  <si>
    <t>OKPARA RIGHTEOUSNESS</t>
  </si>
  <si>
    <t>https://oze.bamboohr.com/careers/79</t>
  </si>
  <si>
    <t>PROJECT MANAGEMENT</t>
  </si>
  <si>
    <t>AngloGold Ashanti</t>
  </si>
  <si>
    <t>mining software,</t>
  </si>
  <si>
    <t>ANALYTICAL THINKING, Understanding of project scopes, sequencing, and cost alignment</t>
  </si>
  <si>
    <t>BSc or Diploma</t>
  </si>
  <si>
    <t>Engineering (mining)</t>
  </si>
  <si>
    <t>Telephone: +233 303 773400, Fax: +233 303 778155</t>
  </si>
  <si>
    <t>Gold House, Patrice Lumumba Road, (PO Box 2665), Accra, Ghana.</t>
  </si>
  <si>
    <t>https://www.linkedin.com/shareArticle?mini=true&amp;url=https://www.anglogoldashanti.com/contacts/&amp;title=Contacts%20-%20AngloGold%20Ashanti, https://twitter.com/intent/tweet?text=Contacts%20-%20AngloGold%20Ashanti&amp;url=https://www.anglogoldashanti.com/contacts/</t>
  </si>
  <si>
    <t>https://share.google/2GeQVmHDQyrHuhCuE</t>
  </si>
  <si>
    <t>Digital Risk Data Analytics IT Audit Associate</t>
  </si>
  <si>
    <t>EY GLOBAL</t>
  </si>
  <si>
    <t>SOUTH AFRICA</t>
  </si>
  <si>
    <t>Onsite</t>
  </si>
  <si>
    <t xml:space="preserve">SQL, SAS, Arbutus, Power BI, Tableau, Looker Studio, MySQL, MSSQL, Oracle, Azure Data Factory, AWS Glue, GCP BigQuery. </t>
  </si>
  <si>
    <t xml:space="preserve">predictive modeling and data science techniques, analytical and problem-solving skills, attention to details, communicate complex data insights to non-technical stakeholders, Proactive, adaptable, and collaborative mindset. </t>
  </si>
  <si>
    <t>EY wavespace Johannesburg, 102 Rivonia Road, Sandton, Johannesburg 2194</t>
  </si>
  <si>
    <t>https://www.linkedin.com/company/ernstandyoung/, https://www.facebook.com/EY/</t>
  </si>
  <si>
    <t>ALABI FARUK</t>
  </si>
  <si>
    <t>https://careers.ey.com/ey/job/Johannesburg-Digital-Risk-Data-Analytics-IT-Audit-Associate-GP-2146/1409887433/</t>
  </si>
  <si>
    <t>Junior Business Analyst</t>
  </si>
  <si>
    <t>SavageOne</t>
  </si>
  <si>
    <t>data visualization tools, project management methodologies, Microsoft Office Suite</t>
  </si>
  <si>
    <t xml:space="preserve">Analytical Skills, Communication Skills, Interpersonal Skills, Attention to Detail, Adaptability, Certification in Business Analysis. </t>
  </si>
  <si>
    <t>Bachelors degree</t>
  </si>
  <si>
    <t xml:space="preserve">HR </t>
  </si>
  <si>
    <t>hello@savageone.co, partners@savageone.co</t>
  </si>
  <si>
    <t>33 Riley St, Woodm, Sandton, 2191</t>
  </si>
  <si>
    <t>https://www.linkedin.com/company/101525717/admin/feed/posts/</t>
  </si>
  <si>
    <t>https://www.careers-page.com/savageone/job/L53RVW33</t>
  </si>
  <si>
    <t>Investment Analyst, MAS Manufacturing &amp; Services</t>
  </si>
  <si>
    <t>World bank group</t>
  </si>
  <si>
    <t xml:space="preserve">develop complex financial models, knowledge of financial markets, </t>
  </si>
  <si>
    <t>Tel: +1 (202) 473-1000</t>
  </si>
  <si>
    <t>https://www.linkedin.com/company/the-world-bank-group</t>
  </si>
  <si>
    <t>https://worldbankgroup.csod.com/ux/ats/careersite/1/home/requisition/37223?c=worldbankgroup&amp;lq=Ghana&amp;pl=ChIJx9baqM1a1w8RNtKT0DDy11Q</t>
  </si>
  <si>
    <t>Analyst Sales support</t>
  </si>
  <si>
    <t>MTN Nigeria Communications Plc (MTNN)</t>
  </si>
  <si>
    <t>july 7th, 2026</t>
  </si>
  <si>
    <t>word, PowerPoint, Excel</t>
  </si>
  <si>
    <t>First Degree in Accounting</t>
  </si>
  <si>
    <t>MTNN.ForensicServices@mtn.com</t>
  </si>
  <si>
    <t>Matori Service Center, Oshodi – Lagos</t>
  </si>
  <si>
    <t>Duru Ruth</t>
  </si>
  <si>
    <t>OLABISI ADEYEMO</t>
  </si>
  <si>
    <t>https://www.hotnigerianjobs.com/hotjobs/918151/analyst-sales-support-at-mtn-nigeria.html</t>
  </si>
  <si>
    <t>Associate Scientist – Data Analyst</t>
  </si>
  <si>
    <t>ICRISAT</t>
  </si>
  <si>
    <t>Nairobi, Kenya</t>
  </si>
  <si>
    <t>onsite</t>
  </si>
  <si>
    <t>R, Python, and SAS.</t>
  </si>
  <si>
    <t>Biostatistician, problem-solving skills</t>
  </si>
  <si>
    <t>Ph.D. in Statistics</t>
  </si>
  <si>
    <t>Tel: +91 8455683071</t>
  </si>
  <si>
    <r>
      <rPr>
        <rFont val="'Times New Roman',serif"/>
        <color rgb="FF1155CC"/>
        <sz val="14.0"/>
        <u/>
      </rPr>
      <t>icrisat.website@icrisat.org</t>
    </r>
  </si>
  <si>
    <t>Ajiboye Pius</t>
  </si>
  <si>
    <r>
      <rPr>
        <rFont val="'Times New Roman',serif"/>
        <color rgb="FF1155CC"/>
        <sz val="14.0"/>
        <u/>
      </rPr>
      <t>https://www.landscapealliance.org/career/206844000052472904/associate-scientist-data-analyst-icrisat/</t>
    </r>
  </si>
  <si>
    <t>Junior Project Manager</t>
  </si>
  <si>
    <t>Vision 2063 Foundation</t>
  </si>
  <si>
    <t xml:space="preserve">Word, Excel, PowerPoint, Outlook, Microsoft Teams, Zoom, and Google Workspace.
</t>
  </si>
  <si>
    <t>project coordination skills, excellent communication abilities</t>
  </si>
  <si>
    <t>Bachelor's degree in Project Management, Business Administration</t>
  </si>
  <si>
    <r>
      <rPr>
        <rFont val="'Times New Roman',serif"/>
        <color rgb="FF1155CC"/>
        <sz val="14.0"/>
        <u/>
      </rPr>
      <t>https://vision2063foundation.org/contact/</t>
    </r>
  </si>
  <si>
    <r>
      <rPr>
        <rFont val="'Times New Roman',serif"/>
        <color rgb="FF1155CC"/>
        <sz val="14.0"/>
        <u/>
      </rPr>
      <t>vision2063foundation.org</t>
    </r>
  </si>
  <si>
    <r>
      <rPr>
        <rFont val="'Times New Roman',serif"/>
        <color rgb="FF1155CC"/>
        <sz val="14.0"/>
        <u/>
      </rPr>
      <t>https://www.brightermonday.co.ke/listings/junior-project-manager-j64jwv</t>
    </r>
  </si>
  <si>
    <t>Social Media Manager</t>
  </si>
  <si>
    <t>Waziri Coffee</t>
  </si>
  <si>
    <t>Canva, capcut, adbeexpress, meta business suite, chatgpt</t>
  </si>
  <si>
    <t>Strong storytelling, video editing, and content creation skills</t>
  </si>
  <si>
    <t>Degree/Diploma in Communications</t>
  </si>
  <si>
    <t>waziricoffee.org</t>
  </si>
  <si>
    <r>
      <rPr>
        <rFont val="'Times New Roman',serif"/>
        <color rgb="FF1155CC"/>
        <sz val="14.0"/>
        <u/>
      </rPr>
      <t>https://www.instagram.com/waziri_coffee/?hl=en</t>
    </r>
  </si>
  <si>
    <r>
      <rPr>
        <rFont val="'Times New Roman',serif"/>
        <color rgb="FF1155CC"/>
        <sz val="14.0"/>
        <u/>
      </rPr>
      <t>https://www.brightermonday.co.ke/listings/social-media-manager-waziri-coffee-2kzepj</t>
    </r>
  </si>
  <si>
    <t>MNC Consulting Group</t>
  </si>
  <si>
    <t>hybrid</t>
  </si>
  <si>
    <t>Proficiency in Adobe Creative Suite (Photoshop, Illustrator, InDesign, and Acrobat).</t>
  </si>
  <si>
    <t>Excellent communication and interpersonal skills</t>
  </si>
  <si>
    <t>Bachelor's degree or Diploma in Graphic Design, Visual</t>
  </si>
  <si>
    <t>Advertising, Media &amp; Communications</t>
  </si>
  <si>
    <t>Contact: +254 720 502 505</t>
  </si>
  <si>
    <t>info@mncconsulting.co.ke</t>
  </si>
  <si>
    <r>
      <rPr>
        <rFont val="Calibri,sans-serif"/>
        <color rgb="FF1155CC"/>
        <sz val="11.0"/>
        <u/>
      </rPr>
      <t>https://www.brightermonday.co.ke/listings/graphic-designer-pgdwqp</t>
    </r>
  </si>
  <si>
    <t>Data Entry Clerk</t>
  </si>
  <si>
    <t>Ikwetta Holdings Limited</t>
  </si>
  <si>
    <t>kenya</t>
  </si>
  <si>
    <t>Proficiency in ERP systems and data entry processes</t>
  </si>
  <si>
    <t>Strong organizational and record-keeping skills.</t>
  </si>
  <si>
    <t>Ksh 15,000 -30,000</t>
  </si>
  <si>
    <t>Manufacturing &amp; Warehousing</t>
  </si>
  <si>
    <t>(+254) 0790482838</t>
  </si>
  <si>
    <r>
      <rPr>
        <rFont val="'Times New Roman',serif"/>
        <color rgb="FF1155CC"/>
        <sz val="14.0"/>
        <u/>
      </rPr>
      <t>team@ikwetta.com</t>
    </r>
  </si>
  <si>
    <t>ikwetta, Old North Airport Road, Embakasi, Nairobi, Kenya</t>
  </si>
  <si>
    <r>
      <rPr>
        <rFont val="'Times New Roman',serif"/>
        <color rgb="FF1155CC"/>
        <sz val="14.0"/>
        <u/>
      </rPr>
      <t>https://www.brightermonday.co.ke/listings/data-entry-z82g7d</t>
    </r>
  </si>
  <si>
    <t xml:space="preserve"> Soillight Ltd</t>
  </si>
  <si>
    <t>Lagos, Nigeria</t>
  </si>
  <si>
    <t>Remote</t>
  </si>
  <si>
    <t xml:space="preserve">Strong knowledge of Instagram, Facebook, TikTok, X (Twitter), and LinkedIn
</t>
  </si>
  <si>
    <t>Creative thinking and content planning skills</t>
  </si>
  <si>
    <t>B.Sc</t>
  </si>
  <si>
    <t>Not Stated</t>
  </si>
  <si>
    <t>Shipping &amp; Logistics</t>
  </si>
  <si>
    <t>hello@soillight.com</t>
  </si>
  <si>
    <t xml:space="preserve">3 Dipo Olubi Street, Aguda, Surulere, Lagos, Lagos 101283 </t>
  </si>
  <si>
    <t>http://soillight.com</t>
  </si>
  <si>
    <t>Hafsat Sulyman</t>
  </si>
  <si>
    <r>
      <rPr/>
      <t xml:space="preserve"> </t>
    </r>
    <r>
      <rPr>
        <color rgb="FF1155CC"/>
        <u/>
      </rPr>
      <t>https://ng.indeed.com/cmp/Soillight-Ltd./jobs?jk=abf32e9cbfcf4140&amp;start=0</t>
    </r>
    <r>
      <rPr/>
      <t xml:space="preserve">
</t>
    </r>
  </si>
  <si>
    <t>Data Analyst</t>
  </si>
  <si>
    <t>Nigeria Distilleries Limited</t>
  </si>
  <si>
    <t xml:space="preserve"> Nigeria</t>
  </si>
  <si>
    <t>Data Analysis, Automation and Critical Thinking</t>
  </si>
  <si>
    <t>Degree</t>
  </si>
  <si>
    <t>NGN 70,000 - 150,000</t>
  </si>
  <si>
    <t xml:space="preserve"> info@ndl-ng.com 
</t>
  </si>
  <si>
    <t xml:space="preserve">40, Lagos-Abeokuta Expressway, Sango-Otta 
</t>
  </si>
  <si>
    <t>https://ndl-ng.com/</t>
  </si>
  <si>
    <t>https://api.jobberman.com/listings/data-analyst-qzzx07</t>
  </si>
  <si>
    <t>EY (Ernst &amp; Young)</t>
  </si>
  <si>
    <t>Primary Location Only</t>
  </si>
  <si>
    <t>SQL, SAS, Arbutus, Power BI, Tableau, Looker Studio, MySQL, MSSQL, Oracle, Azure Data Factory, AWS Glue, Google BigQuery, Microsoft Excel, Microsoft Access, Microsoft Word, Microsoft PowerPoint</t>
  </si>
  <si>
    <t>Data Analytics, Data Cleaning, Statistical Analysis, Predictive Modelling, Dashboard Development, Data Visualization, IT Audit, Cyber Risk Assessment, Data Governance, Stakeholder Management</t>
  </si>
  <si>
    <t>Recognized university degree in IT and Data Analytics</t>
  </si>
  <si>
    <t>Competitive</t>
  </si>
  <si>
    <t>Risk Consulting / IT Audit / Data Analytics</t>
  </si>
  <si>
    <t>Johannesburg, South Africa</t>
  </si>
  <si>
    <r>
      <rPr>
        <color rgb="FF1155CC"/>
        <u/>
      </rPr>
      <t>https://www.linkedin.com/company/ernstandyoung/</t>
    </r>
    <r>
      <rPr/>
      <t xml:space="preserve"> ; </t>
    </r>
    <r>
      <rPr>
        <color rgb="FF1155CC"/>
        <u/>
      </rPr>
      <t>https://www.facebook.com/EY/</t>
    </r>
  </si>
  <si>
    <t>Alabi Faruk</t>
  </si>
  <si>
    <t>Junior Web Developer</t>
  </si>
  <si>
    <t>GN128 Solutions</t>
  </si>
  <si>
    <t xml:space="preserve"> REACT, HTML, CSS, Java,  MYSQL/MSSQL and web development tools</t>
  </si>
  <si>
    <t xml:space="preserve">Convert designs into HTML/PHP/REACT pages;
Develop web sites in LARAVEL;
</t>
  </si>
  <si>
    <t>150,000 upward</t>
  </si>
  <si>
    <t>IT Solutions</t>
  </si>
  <si>
    <t xml:space="preserve"> +234 911 627 7200
</t>
  </si>
  <si>
    <t xml:space="preserve"> @gn128.com</t>
  </si>
  <si>
    <t>PMB 17628 Ikeja, Lagos</t>
  </si>
  <si>
    <r>
      <rPr>
        <color rgb="FF1155CC"/>
        <u/>
      </rPr>
      <t>(5) GN128 Solutions: Overview | LinkedIn</t>
    </r>
  </si>
  <si>
    <t>https://tinyurl.com/37k284aa</t>
  </si>
  <si>
    <t>Associate Data Analyst</t>
  </si>
  <si>
    <t>Sproxil</t>
  </si>
  <si>
    <t xml:space="preserve">Proficiency in statistical software such as R, Stata, or SPSS, alongside strong Excel skills.
	Familiarity with data visualisation tools (Power BI, Tableau, or similar).
	Experience with data collection platforms such as DHIS2, REDCap, KoBoToolbox, or ODK is an advantage.
</t>
  </si>
  <si>
    <t xml:space="preserve">Strong analytical thinking and attention to detail when working with health and programme data.
Ability to communicate technical findings clearly to non-technical 
</t>
  </si>
  <si>
    <t>Bachelor's Degree in Epidemiology, Biostatistics, Public Health, Global Health, Statistics, or a related quantitative field</t>
  </si>
  <si>
    <t>Technology and Consumer Engagement</t>
  </si>
  <si>
    <t xml:space="preserve"> 0806 045 2064</t>
  </si>
  <si>
    <t>survey.smis@sproxil.com</t>
  </si>
  <si>
    <t>32, Mobolaji Bank Anthony,
Ikeja, Lagos State, Nigeria</t>
  </si>
  <si>
    <t>https://sproxil.com/</t>
  </si>
  <si>
    <t>https://www.hotnigerianjobs.com/hotjobs/914425/associate-data-analyst-at-sproxil-nigeria-limited.html</t>
  </si>
  <si>
    <t>Microsoft Word, Microsoft Excel, Microsoft PowerPoint, Microsoft Visio, Tableau, Power BI</t>
  </si>
  <si>
    <t>Requirements Gathering, Data Analysis, Documentation, Project Support, Testing &amp; Validation, Stakeholder Communication, Market Research, Business Analysis, Problem Solving</t>
  </si>
  <si>
    <t>Bachelor's Degree in Business Administration, Information Technology or related field</t>
  </si>
  <si>
    <t>Business Analysis</t>
  </si>
  <si>
    <t>hire@savageone.co</t>
  </si>
  <si>
    <t>Midrand, Gauteng, South Africa</t>
  </si>
  <si>
    <t>Emmauel Abiata-Samuel</t>
  </si>
  <si>
    <t>International Finance Corporation (IFC)</t>
  </si>
  <si>
    <t>Nigeria or Ghana</t>
  </si>
  <si>
    <t>On-site</t>
  </si>
  <si>
    <t>Financial Modelling, DCF, Financial Statement Analysis, Comparable Company Analysis, Market Analysis, Market Research, Data Analysis, Microsoft Office (Presentations, Tables &amp; Graphics)</t>
  </si>
  <si>
    <t>Financial Analysis, Accounting, Corporate Finance, Project Finance, Market Research, Industry Analysis, Data Collection, Business Development, Report Writing, Presentation Skills, Analytical Skills, Communication Skills, Attention to Detail</t>
  </si>
  <si>
    <t>Bachelor's or equivalent degree</t>
  </si>
  <si>
    <t>Not stated</t>
  </si>
  <si>
    <t>Investment / Development Finance</t>
  </si>
  <si>
    <t>1 (202) 473-1000</t>
  </si>
  <si>
    <t>Lagos, Nigeria or Accra, Ghana</t>
  </si>
  <si>
    <t>https://www.ifc.org/</t>
  </si>
  <si>
    <t>Customer Support Representativep</t>
  </si>
  <si>
    <t>Wave Mobile Money</t>
  </si>
  <si>
    <t>Gambia</t>
  </si>
  <si>
    <t>Contract</t>
  </si>
  <si>
    <t>Mobile wallet or Customer Service</t>
  </si>
  <si>
    <t>Are a diplomatic speaker.
Have a teamwork spirit.
Speak other local languages.</t>
  </si>
  <si>
    <t>High school diploma</t>
  </si>
  <si>
    <t>220 230 0725</t>
  </si>
  <si>
    <t>programs@wave-gambia.org</t>
  </si>
  <si>
    <t>No 4 Kembujeh Ville (Off Manjai Highway) – Kanifing Municipal Council, The Gambia</t>
  </si>
  <si>
    <t>https://www.wave.com/en/</t>
  </si>
  <si>
    <t>https://www.wave.com/en/careers/job/5402628004/</t>
  </si>
  <si>
    <t>Customer Support Representative</t>
  </si>
  <si>
    <t>Sierra Leone</t>
  </si>
  <si>
    <t>Fluency in English and Krio
Are a diplomatic speaker.
Have a teamwork spirit.</t>
  </si>
  <si>
    <t>Freetown, Sierra Leone.</t>
  </si>
  <si>
    <t>https://www.wave.com/en/careers/job/5843261004/</t>
  </si>
  <si>
    <t>Democratic Republic of Congo</t>
  </si>
  <si>
    <t>Fluency in French and local languages.
Are a diplomatic speaker.
Have a teamwork spirit.</t>
  </si>
  <si>
    <t>Kinshasa, Democratic Republic of the Congo</t>
  </si>
  <si>
    <t>:https://www.wave.com/en/careers/job/5982368004/</t>
  </si>
  <si>
    <t>Niger</t>
  </si>
  <si>
    <t xml:space="preserve">Fluency in French and Haoussa
A strong sense of responsibility and an excellent ability to take initiative
</t>
  </si>
  <si>
    <t>Niamey, Niger</t>
  </si>
  <si>
    <t>https://www.wave.com/en/careers/job/6104755004/</t>
  </si>
  <si>
    <t>Software Engineer</t>
  </si>
  <si>
    <t xml:space="preserve"> TeKnowledge</t>
  </si>
  <si>
    <t xml:space="preserve">Microsoft Entra ID / Azure AD.
SSO using SAML, OAuth 2.0, or OIDC.
Microsoft Graph API 
</t>
  </si>
  <si>
    <t xml:space="preserve"> innovation, problem-solving skills</t>
  </si>
  <si>
    <t>Technical education with a Bachelor’s degree</t>
  </si>
  <si>
    <t>Technology</t>
  </si>
  <si>
    <t>Victoria Island Lagos, Nigeria</t>
  </si>
  <si>
    <t>https://web.facebook.com/TeKnowledgeGlobal</t>
  </si>
  <si>
    <r>
      <rPr/>
      <t xml:space="preserve"> </t>
    </r>
    <r>
      <rPr>
        <color rgb="FF1155CC"/>
        <u/>
      </rPr>
      <t>https://careers.teknowledge.com/teknowledge/jobs/17503?lang=en-us</t>
    </r>
  </si>
  <si>
    <t>AI Enabled Quality Engineer</t>
  </si>
  <si>
    <t>SQL, Claude, Copilot, Cursor, Github</t>
  </si>
  <si>
    <t>AI &amp; Automation Skills</t>
  </si>
  <si>
    <r>
      <rPr>
        <color rgb="FF1155CC"/>
        <u/>
      </rPr>
      <t>B.Sc</t>
    </r>
    <r>
      <rPr/>
      <t xml:space="preserve"> Computer Science or Software Engineering
</t>
    </r>
  </si>
  <si>
    <t>https://careers.teknowledge.com/teknowledge/jobs/17476?lang=en-us</t>
  </si>
  <si>
    <t xml:space="preserve">Software Tester/QA Engineer
</t>
  </si>
  <si>
    <t>JIRA/Azure DevOps.
JAVA</t>
  </si>
  <si>
    <t>Attention to details, Accuracy, effective communication.</t>
  </si>
  <si>
    <t>bachelor’s degree</t>
  </si>
  <si>
    <t>https://careers.teknowledge.com/teknowledge/jobs/15551?lang=en-us</t>
  </si>
  <si>
    <t xml:space="preserve"> Orange Business</t>
  </si>
  <si>
    <t>Morocco</t>
  </si>
  <si>
    <t>Full Time</t>
  </si>
  <si>
    <t xml:space="preserve"> Power BI, QlikView, or other data visualization tools, Excel,  MSBI suite</t>
  </si>
  <si>
    <t xml:space="preserve">Skills in AI development, Proficiency in translating business needs into technical solutions using VBA, AI, and other tools
</t>
  </si>
  <si>
    <t xml:space="preserve"> degree from an engineering school or other (data field)</t>
  </si>
  <si>
    <t>Digital &amp; Communication</t>
  </si>
  <si>
    <t xml:space="preserve"> Casablanca MOROCCO</t>
  </si>
  <si>
    <t>http://contact.orange.fr/</t>
  </si>
  <si>
    <t>hafsat Sulyman</t>
  </si>
  <si>
    <r>
      <rPr/>
      <t xml:space="preserve"> </t>
    </r>
    <r>
      <rPr>
        <color rgb="FF1155CC"/>
        <u/>
      </rPr>
      <t>https://orange.jobs/gb/en/job/ICM-587569/Data-Analyst</t>
    </r>
  </si>
  <si>
    <t>Digital Analyst</t>
  </si>
  <si>
    <t>Lopterra services</t>
  </si>
  <si>
    <t xml:space="preserve"> manage digital advertising campaigns across
 platforms like Google Ads, Facebook Ads
, Instagram</t>
  </si>
  <si>
    <t xml:space="preserve">Strong analytical skills 
Excellent written and verbal communication skills, 
Creative thinking and problem-solving skills, 
Strong project management skills
</t>
  </si>
  <si>
    <t>Bachelors degree in Marketing or related field.</t>
  </si>
  <si>
    <t>#150000</t>
  </si>
  <si>
    <t>Digital Marketing</t>
  </si>
  <si>
    <t>234 816 086 9389</t>
  </si>
  <si>
    <t>not stated</t>
  </si>
  <si>
    <t>Ikeja, Lagos</t>
  </si>
  <si>
    <t>Amarachi Amaechi</t>
  </si>
  <si>
    <t>Jonathan Chioma</t>
  </si>
  <si>
    <t>https://lopterraservices.com/jobs/digital-marketer/</t>
  </si>
  <si>
    <t>Full Stack Web Developer</t>
  </si>
  <si>
    <t>Codar Tech</t>
  </si>
  <si>
    <t>Abuja</t>
  </si>
  <si>
    <t>part Time</t>
  </si>
  <si>
    <t>Proficiency in HTML, CSS, JavaScript, React.js (or equivalent), 
Node.js, Express.js, Git, REST APIs, and SQL/NoSQL databases</t>
  </si>
  <si>
    <t xml:space="preserve">Experience in real-world software development projects.
Excellent communication and presentation skills.
Strong problem-solving and mentoring abilities.
Ability to teach both beginners and intermediate learners.
</t>
  </si>
  <si>
    <t>not specified</t>
  </si>
  <si>
    <t>#30,000-#40,000 per batch</t>
  </si>
  <si>
    <t>Technlogy</t>
  </si>
  <si>
    <t>(234) 703 133 9885</t>
  </si>
  <si>
    <t>telesales@codarhq.com</t>
  </si>
  <si>
    <t xml:space="preserve">43b Adeniyi Jones, Right House Building,
 Ikeja, Lagos.
</t>
  </si>
  <si>
    <t>Faith Atogun</t>
  </si>
  <si>
    <t>https://codarhq.com/</t>
  </si>
  <si>
    <t>Digital Marketer</t>
  </si>
  <si>
    <t>Lopterra Services</t>
  </si>
  <si>
    <t>Google Ads, Facebook Ads, Instagram, SEO</t>
  </si>
  <si>
    <t>Digital marketing, analytics, content creation</t>
  </si>
  <si>
    <t>Bachelor's in Marketing</t>
  </si>
  <si>
    <t>₦150,000 Gross</t>
  </si>
  <si>
    <t>lopterrarecruitment@gmail.com</t>
  </si>
  <si>
    <t>Ikeja</t>
  </si>
  <si>
    <t>Digital Sales Officer</t>
  </si>
  <si>
    <t>CRM, Social media ads</t>
  </si>
  <si>
    <t>Sales, digital marketing</t>
  </si>
  <si>
    <t>Bachelor/HND</t>
  </si>
  <si>
    <t>Negotiable</t>
  </si>
  <si>
    <t>Lagos</t>
  </si>
  <si>
    <t>https://lopterraservices.com/jobs/digital-sales-officer/</t>
  </si>
  <si>
    <t>QA Automation Engineer</t>
  </si>
  <si>
    <t>WATU Global</t>
  </si>
  <si>
    <t>Kenya</t>
  </si>
  <si>
    <t>API, Docker Compose, GCP, Git, Google Cloud Platform, GraphQL, JavaScript, Jenkins, Playwright, Python, REST, SQL, TypeScript</t>
  </si>
  <si>
    <t>Automation, Dashboarding, Python, SQL, Spreadsheet management, ai, communication</t>
  </si>
  <si>
    <t>University degree</t>
  </si>
  <si>
    <t>Transportation</t>
  </si>
  <si>
    <t>0757 555 111, 0800 722 245</t>
  </si>
  <si>
    <t>customercare@watuafrica.co.ke, brand@watuafrica.com, partnerships@watuafrica.com</t>
  </si>
  <si>
    <t>Watu HQ, Lower Hill Rd, Nairobi, Kenya.</t>
  </si>
  <si>
    <r>
      <rPr>
        <rFont val="&quot;Arial&quot;,sans-serif"/>
        <color rgb="FF1155CC"/>
        <sz val="11.0"/>
        <u/>
      </rPr>
      <t>QA Automation Engineer - Watu -
Career Page</t>
    </r>
  </si>
  <si>
    <t>Process Analyst- Rwanda</t>
  </si>
  <si>
    <t>WATU GROUP</t>
  </si>
  <si>
    <t>Rwanda</t>
  </si>
  <si>
    <t>GCP, Google Cloud Platform, Python, SQL</t>
  </si>
  <si>
    <t>Dashboarding, Python, SQL, Spreadsheet management, ai, communication</t>
  </si>
  <si>
    <t xml:space="preserve">0738 830 101, 0229 200 600, </t>
  </si>
  <si>
    <t>info@watuafrica.co.rw</t>
  </si>
  <si>
    <t>P.O. BOX 3019, Kimihurura, Gasabo, Kigali, Rwanda.</t>
  </si>
  <si>
    <t>https://watu.applytojob.com/apply/9Wp2wT6CYg/Process-Analyst-Rwanda</t>
  </si>
  <si>
    <t>Process Analyst-Sierra Leone</t>
  </si>
  <si>
    <t>033 500 001, info@watuafrica.sl,</t>
  </si>
  <si>
    <t>info@watuafrica.sl</t>
  </si>
  <si>
    <t>https://watu.applytojob.com/apply/Ms3sMEojQv/Process-AnalystSierra-Leone</t>
  </si>
  <si>
    <t>Process Analyst-Nigeria</t>
  </si>
  <si>
    <r>
      <rPr>
        <rFont val="&quot;Times New Roman&quot;,serif"/>
        <b/>
        <color rgb="FF1155CC"/>
        <sz val="14.0"/>
        <u/>
      </rPr>
      <t>https://watu.applytojob.com/apply/tVOmvycKmL/Process-Analyst-Nigeria</t>
    </r>
  </si>
  <si>
    <t>DLM Enterprise Data Analyst - VOIS</t>
  </si>
  <si>
    <t>Vodafone Intelligent Solutions</t>
  </si>
  <si>
    <t>Egypt</t>
  </si>
  <si>
    <t>Power BI, Python</t>
  </si>
  <si>
    <t>Python, ai, analytical, problem-solving</t>
  </si>
  <si>
    <t>BUSINESS</t>
  </si>
  <si>
    <t>linkedin, facebook, instagram</t>
  </si>
  <si>
    <r>
      <rPr>
        <rFont val="&quot;Times New Roman&quot;,serif"/>
        <color rgb="FF1155CC"/>
        <sz val="14.0"/>
        <u/>
      </rPr>
      <t>DLM Enterprise Data
Analyst - VOIS Job Details | Vodafone</t>
    </r>
  </si>
  <si>
    <t>Impact.com</t>
  </si>
  <si>
    <t>BigQuery, DOMO, DataBricks, GCP, Google Cloud Platform, Hive, Kafka, Looker, Power BI, PySpark, Python, QlikView, SQL, Tableau, mySQL, postgres, rest</t>
  </si>
  <si>
    <t>Python, SQL, ai, analytical, communication, machine learning, problem-solving</t>
  </si>
  <si>
    <t>pxa@impact.com, publisher.growth@impact.com</t>
  </si>
  <si>
    <r>
      <rPr>
        <rFont val="&quot;Times New Roman&quot;,serif"/>
        <color rgb="FF1155CC"/>
        <sz val="14.0"/>
        <u/>
      </rPr>
      <t>impact.com Careers | See Latest Job
Opportunities &amp; Apply Today</t>
    </r>
  </si>
  <si>
    <t>Junior Quality Analyst</t>
  </si>
  <si>
    <t>Kaziweza Limited</t>
  </si>
  <si>
    <t xml:space="preserve">Kenya </t>
  </si>
  <si>
    <t xml:space="preserve">Microsoft Excel, HACCP/GMP, QMS </t>
  </si>
  <si>
    <t>Analytical, communication, reporting, problem solving, adaptability</t>
  </si>
  <si>
    <t>Bachelor's degree/ Diploma in quality Assurance, Biochemistry, Industrial Chemistry, or a related field</t>
  </si>
  <si>
    <t>KSh 15,000 - 30,000</t>
  </si>
  <si>
    <t>Nakuru, Kenya</t>
  </si>
  <si>
    <t xml:space="preserve">https://ke.linkedin.com/company/kaziweza </t>
  </si>
  <si>
    <t>Udeh-Edo Favour</t>
  </si>
  <si>
    <t>https://www.brightermonday.co.ke/listings/junior-quality-analyst-animal-feeds-d9eem5</t>
  </si>
  <si>
    <t xml:space="preserve">Quality Assurance Analyst </t>
  </si>
  <si>
    <t>Babban Gona</t>
  </si>
  <si>
    <t>Jira/Testrail, Cypress, Playwright, Web Testing, Agile/Scrum, Test Case Design</t>
  </si>
  <si>
    <t>Analytical, cCommunication, Debugging, Documentation, Automation, Problem solving, Adaptability</t>
  </si>
  <si>
    <t xml:space="preserve">Technology </t>
  </si>
  <si>
    <t>info@babbangona.com</t>
  </si>
  <si>
    <t>15a, Sowemimo Street, Ikeja GRA, Lagos State.</t>
  </si>
  <si>
    <t xml:space="preserve">Udeh-Edo Favour </t>
  </si>
  <si>
    <t>https://babbangona.zohorecruit.com/jobs/Careers/595887000010967193/Analyst-Quality-Assurance-?source=CareerSite</t>
  </si>
  <si>
    <t>Associate, Risk Analytics</t>
  </si>
  <si>
    <t>FLUTTERWAVE</t>
  </si>
  <si>
    <t>SQL, Python, Microsoft Excel, and PowerBI (DAX).</t>
  </si>
  <si>
    <t>Excellent problem-solving, critical-thinking skills
• Exceptional interpersonal skills 
• High attention to detail and the proven ability to manage multiple priorities</t>
  </si>
  <si>
    <t xml:space="preserve"> Bachelor's degree in Finance, Statistics, 
Mathematics, Computer Science, Business, 
Accounting</t>
  </si>
  <si>
    <r>
      <rPr>
        <rFont val="Arial,sans-serif"/>
        <color rgb="FF1155CC"/>
        <sz val="11.0"/>
        <u/>
      </rPr>
      <t>hi@flutterwavego.com</t>
    </r>
  </si>
  <si>
    <t>Plot 8 Providence Street, Ground Floor, Lekki, Lagos 234000, NG</t>
  </si>
  <si>
    <t>https://www.linkedin.com/company/flutterwave/</t>
  </si>
  <si>
    <r>
      <rPr>
        <rFont val="Arial,sans-serif"/>
        <color rgb="FF1155CC"/>
        <sz val="11.0"/>
        <u/>
      </rPr>
      <t>BambooHR</t>
    </r>
  </si>
  <si>
    <t xml:space="preserve">Graphics Designer </t>
  </si>
  <si>
    <t>AG Trade Services Limited</t>
  </si>
  <si>
    <t xml:space="preserve">Remote </t>
  </si>
  <si>
    <t>13th - 07 - 2026</t>
  </si>
  <si>
    <t>Adobe Photoshop, Adobe Illustrator, Canva Pro</t>
  </si>
  <si>
    <t>typography, colour theory, layout, branding, visual storytelling, creativity, branding, and design skills.</t>
  </si>
  <si>
    <t>OND, HND, or Bachelor’s Degree</t>
  </si>
  <si>
    <t>N/A</t>
  </si>
  <si>
    <t>Finance and Logistics</t>
  </si>
  <si>
    <t>info@agtradeservicesltd.com</t>
  </si>
  <si>
    <t>Wuse II, Federal Capital Territory</t>
  </si>
  <si>
    <t>https://ng.linkedin.com/company/ag-trade-services-ltd, https://www.linkedin.com/company/ag-trade-services-ltd/, https://x.com/agtradeservices?s=21&amp;t=z7zya-3zA8c4UWDUSEPivg</t>
  </si>
  <si>
    <t>https://jobs.smartyacad.com/graphic-designer-at-ag-trade-services-limited/</t>
  </si>
  <si>
    <t>DIXCOVER HUB</t>
  </si>
  <si>
    <t>Diital Marketing &amp; Community Officer</t>
  </si>
  <si>
    <t>Agrodemy</t>
  </si>
  <si>
    <t xml:space="preserve">Canva </t>
  </si>
  <si>
    <t>Writing, story telling and content creation skills</t>
  </si>
  <si>
    <t>Dachelor's Degree</t>
  </si>
  <si>
    <t>80000 NGN - 100,000 NGN</t>
  </si>
  <si>
    <t>Agrotech</t>
  </si>
  <si>
    <t>https://www.agrodemy.net/contactus/</t>
  </si>
  <si>
    <t>https://ng.linkedin.com/company/agrodemyafrica</t>
  </si>
  <si>
    <t>https://jobs.smartyacad.com/agrodemy-remote-recruitment-2026/</t>
  </si>
  <si>
    <t>Peridot Forte Solutions</t>
  </si>
  <si>
    <t>Google Analytics, Google Search Console, Microsoft Clarity, Google Ads, ChatGPT, Gemini, or Claude</t>
  </si>
  <si>
    <t>writing, copywriting, storytelling skills, analytical, communication, organizational, and project management skills</t>
  </si>
  <si>
    <t>BSC</t>
  </si>
  <si>
    <t>HR CONSULTING</t>
  </si>
  <si>
    <t>234 802 7401 220</t>
  </si>
  <si>
    <t>info@peridotforte.com</t>
  </si>
  <si>
    <t>11 Oriola Street, Alapere Ketu, Lagos</t>
  </si>
  <si>
    <t>https://www.linkedin.com/company/peridot-forte-solutions-consulting</t>
  </si>
  <si>
    <t>https://jobs.smartyacad.com/digital-marketer-at-peridot-forte/</t>
  </si>
  <si>
    <t>Data Analysis Officer</t>
  </si>
  <si>
    <t>Dragnet Solutions</t>
  </si>
  <si>
    <t>Data Analytic tools</t>
  </si>
  <si>
    <t>communication, interpersonal skills, Good organizational and problem-solving abilities</t>
  </si>
  <si>
    <t>234 (0) 700 123 7880</t>
  </si>
  <si>
    <t>info@dragnet-solutions.com</t>
  </si>
  <si>
    <t>1676 Oladele Olashore St, Victoria Island, Lagos</t>
  </si>
  <si>
    <t>https://www.linkedin.com/company/dragnet-solutions-limited/</t>
  </si>
  <si>
    <t>https://jobs.smartyacad.com/multiple-corporate-vacancies-at-dragnet-nigeria/</t>
  </si>
  <si>
    <t>SureGifts NG</t>
  </si>
  <si>
    <t xml:space="preserve">Canva, capcut, Adobe Photoshop, Illustrator, Premiere Pro, Midjourney, </t>
  </si>
  <si>
    <t>social media content creation, creating and editing Reels/TikTok content, copywriting,  social media analytics, detail oriented</t>
  </si>
  <si>
    <t>FINTECH</t>
  </si>
  <si>
    <r>
      <rPr>
        <color rgb="FF1155CC"/>
        <u/>
      </rPr>
      <t>hello@suregifts.com.ng</t>
    </r>
  </si>
  <si>
    <t>https://www.instagram.com/suregifts</t>
  </si>
  <si>
    <t>https://jobs.smartyacad.com/suregifts-remote-vacancies-2026/</t>
  </si>
  <si>
    <t>Product Manager</t>
  </si>
  <si>
    <t xml:space="preserve">B2B platform work, shipping consumer-facing mobile products, </t>
  </si>
  <si>
    <t>mailto:hello@suregifts.com.ng</t>
  </si>
  <si>
    <t>Customer Success Analyst</t>
  </si>
  <si>
    <t>Remote / Hybrid</t>
  </si>
  <si>
    <t xml:space="preserve">Zoho Desk, Zoho Voice, Zendesk, xCally, Asana. </t>
  </si>
  <si>
    <t xml:space="preserve">oral and written communication skills, attention to order accuracy and detail, Problem-solving, analytical thinking, and team spirit, Time managemen, </t>
  </si>
  <si>
    <t>AMARACH AMAECHI</t>
  </si>
  <si>
    <t>AI Video Creator (Motion Graphics)</t>
  </si>
  <si>
    <r>
      <rPr/>
      <t>Base</t>
    </r>
    <r>
      <rPr>
        <color rgb="FF1155CC"/>
        <u/>
      </rPr>
      <t>360.ai</t>
    </r>
  </si>
  <si>
    <t xml:space="preserve">AI video creation tools, </t>
  </si>
  <si>
    <t>video editing, motion graphics, and creative storytelling</t>
  </si>
  <si>
    <t>Technology, Information and Internet</t>
  </si>
  <si>
    <t>https://www.linkedin.com/company/base360-ai</t>
  </si>
  <si>
    <t>https://jobs.smartyacad.com/ai-video-creator-at-base360-ai/</t>
  </si>
  <si>
    <t>Raphael Group</t>
  </si>
  <si>
    <t>13 - 07 - 26</t>
  </si>
  <si>
    <t xml:space="preserve">Adobe Creative Suite, Canva, CapCut, InShot, </t>
  </si>
  <si>
    <t>Excellent time management skills, understanding of typography, color theory, composition, layout, branding, and visual hierarchy.</t>
  </si>
  <si>
    <t>NGN 100,000 - 150,000</t>
  </si>
  <si>
    <t>Finance, real estate, and Consultancy</t>
  </si>
  <si>
    <t>01780 450 302</t>
  </si>
  <si>
    <t>leigh@raphaelgroup.net</t>
  </si>
  <si>
    <t>LAGOS</t>
  </si>
  <si>
    <t>https://www.instagram.com/leigh_harris_property/?hl=en</t>
  </si>
  <si>
    <t>https://ng.indeed.com/jobs?q=graphic+design+entry+level&amp;l=Nigeria&amp;limit=15&amp;ts=1783440405093&amp;rq=1&amp;from=HPRecent&amp;rsIdx=0&amp;fromage=last&amp;newcount=9&amp;fromage=last&amp;newcount=9&amp;fromage=last&amp;newcount=9&amp;vjk=81215dbd7f18015a</t>
  </si>
  <si>
    <t>INDEED</t>
  </si>
  <si>
    <t>Digital Marketing Specialist</t>
  </si>
  <si>
    <t>13th - 07 - 26</t>
  </si>
  <si>
    <t xml:space="preserve">Instagram, Facebook, LinkedIn, TikTok, YouTube, and Twitter/X, Meta Business Suite, Google Analytics, Hootsuite, or Buffer, Canva, Photoshop, CapCut, or Adobe Suite, </t>
  </si>
  <si>
    <t>writing, editing, and communication skill, multitasking skill, understanding of digital marketing principles including SEO and SEM, Data-driven mindset</t>
  </si>
  <si>
    <t>Bsc</t>
  </si>
  <si>
    <t>NGN 150,000 - 190,000</t>
  </si>
  <si>
    <t>01780450 302</t>
  </si>
  <si>
    <t>https://ng.indeed.com/cmp/Raphael-Group/jobs?jk=ba8bf124681c399d&amp;start=0&amp;clearPrefilter=1</t>
  </si>
  <si>
    <t>Heritage Group</t>
  </si>
  <si>
    <t>NIGERIA</t>
  </si>
  <si>
    <t xml:space="preserve">Adobe Photoshop, Adobe Illustrator, Adobe InDesign, Canva Pro, </t>
  </si>
  <si>
    <t xml:space="preserve">understanding of social media design and digital marketing content, creativity, attention to detail, real estate marketing. </t>
  </si>
  <si>
    <t xml:space="preserve">NGN 100,000 </t>
  </si>
  <si>
    <t xml:space="preserve"> Building and Construction</t>
  </si>
  <si>
    <t>234 (0) 700 007 7000</t>
  </si>
  <si>
    <t>info@heritagegroupltd.org</t>
  </si>
  <si>
    <t>https://ng.linkedin.com/company/heritage-group-ltd?original_referer=https%3A%2F%2Fwww.google.com%2F</t>
  </si>
  <si>
    <t>https://ng.indeed.com/jobs?q=graphic+design+entry+level&amp;l=Nigeria&amp;limit=15&amp;ts=1783440405093&amp;rq=1&amp;from=HPRecent&amp;rsIdx=0&amp;fromage=last&amp;newcount=9&amp;fromage=last&amp;newcount=9&amp;fromage=last&amp;newcount=9&amp;vjk=7ec9921164b95ace</t>
  </si>
  <si>
    <t>Backend Developer</t>
  </si>
  <si>
    <t>Ditcosoft Technologies Limited</t>
  </si>
  <si>
    <t>Pure PHP, Node.js, Python, SQL databases, GitHub or Bitbucket, WAMP/LAMP stacks, Swagger, Postman, and backend debugging tools</t>
  </si>
  <si>
    <t xml:space="preserve">Designand maintain RESTful APIs, backend architecture, authentication, and authorization,  AWS services, integrating third-party APIs and payment gateways. </t>
  </si>
  <si>
    <t>HND/BSC</t>
  </si>
  <si>
    <t>₦130,000 - ₦150,000</t>
  </si>
  <si>
    <t>IT SERVICES AND CONSULTING</t>
  </si>
  <si>
    <t>https://ng.linkedin.com/company/ditcosoft-technologies?original_referer=https%3A%2F%2Fwww.google.com%2F</t>
  </si>
  <si>
    <t>https://ng.indeed.com/jobs?q=&amp;l=Africa&amp;radius=25&amp;limit=15&amp;from=searchOnDesktopSerp&amp;start=15&amp;vjk=abc7d96e272acaa0</t>
  </si>
  <si>
    <t>JAVA Backend Developer</t>
  </si>
  <si>
    <t>Almora Limited</t>
  </si>
  <si>
    <t xml:space="preserve">REST APIs, PostgreSQL or MySQL, Git and GitHub, Microservices Architecture, Docker and Kubernetes, Redis, RabbitMQ, or Kafka, </t>
  </si>
  <si>
    <t>ERP, POS, Accounting, Inventory, or SaaS products,  understanding of software development best practices, Strong problem-solving and analytical skills</t>
  </si>
  <si>
    <t>Bachelor's Degree or HND</t>
  </si>
  <si>
    <t>₦500,000</t>
  </si>
  <si>
    <t>IT Services and IT Consulting</t>
  </si>
  <si>
    <t>KANO</t>
  </si>
  <si>
    <t>https://www.linkedin.com/company/almora-io</t>
  </si>
  <si>
    <t>https://ng.indeed.com/jobs?q=&amp;l=Africa&amp;radius=25&amp;limit=15&amp;from=searchOnDesktopSerp&amp;start=30&amp;vjk=76c0b11a84c095d6</t>
  </si>
  <si>
    <t>Junior Backend Engineer</t>
  </si>
  <si>
    <t>Chowdeck</t>
  </si>
  <si>
    <t>13/07/2026</t>
  </si>
  <si>
    <t>Node.js, TypeScript, PostgreSQL, Git</t>
  </si>
  <si>
    <t>Backend Development, REST APIs, Database Management, Problem Solving</t>
  </si>
  <si>
    <t>B.Sc or Equivalent</t>
  </si>
  <si>
    <t>Undisclosed</t>
  </si>
  <si>
    <t>Food Technology</t>
  </si>
  <si>
    <t>https://www.linkedin.com/company/chowdeck</t>
  </si>
  <si>
    <t>Data Entry Officer</t>
  </si>
  <si>
    <t>Moniepoint</t>
  </si>
  <si>
    <t>Excel, Google Sheets, CRM, CSV</t>
  </si>
  <si>
    <t>Data Entry, Data Validation, Record Management, Attention to Detail</t>
  </si>
  <si>
    <t>Delta State</t>
  </si>
  <si>
    <t>https://www.linkedin.com/company/moniepoint</t>
  </si>
  <si>
    <t>https://job-boards.eu.greenhouse.io/moniepoint/jobs/4828394101?gh_src=d2799b12teu</t>
  </si>
  <si>
    <t>LinkedIn</t>
  </si>
  <si>
    <t>App Tester</t>
  </si>
  <si>
    <t>RecruitGo</t>
  </si>
  <si>
    <t>Android, iPhone, Google Drive, Dropbox, Zoom</t>
  </si>
  <si>
    <t>Application Testing, Functional Testing, Communication</t>
  </si>
  <si>
    <t>Unspecified</t>
  </si>
  <si>
    <t>USD 10–20/hour</t>
  </si>
  <si>
    <t>Recruitment / HR Technology</t>
  </si>
  <si>
    <t>mailto:careers@recruitgo.com</t>
  </si>
  <si>
    <t>Pretoria</t>
  </si>
  <si>
    <t>https://recruitgo.teamtailor.com/jobs/8034081-app-tester-south-africa</t>
  </si>
  <si>
    <t>QA Analyst</t>
  </si>
  <si>
    <t>Arch Retail Solutions</t>
  </si>
  <si>
    <t>API Testing, Functional Testing, Exploratory Testing</t>
  </si>
  <si>
    <t>Quality Assurance, Software Testing, Analytical Skills</t>
  </si>
  <si>
    <t>IT Qualification (ISTQB Advantageous)</t>
  </si>
  <si>
    <t>Retail Technology</t>
  </si>
  <si>
    <t>https://archsoftware.breezy.hr/p/20ba67f33d1c-qa-analyst/apply</t>
  </si>
  <si>
    <t>Renmoney</t>
  </si>
  <si>
    <t>SQL, Excel, Power BI, Tableau, Looker</t>
  </si>
  <si>
    <t>Business Analysis, Data Analysis, KPI Reporting, Dashboarding</t>
  </si>
  <si>
    <t>https://apply.workable.com/renmoney/j/D5AAC129C5/</t>
  </si>
  <si>
    <t>Product Manager: Payments Fraud &amp; Risk Solutions</t>
  </si>
  <si>
    <t>In-Office</t>
  </si>
  <si>
    <t>Fraud tooling, AML monitoring, dispute management, Ozow Tech Stack</t>
  </si>
  <si>
    <t>Product management, prioritisation, stakeholder management, cross-functional collaboration</t>
  </si>
  <si>
    <t>Proven experience as a Product Manager in fintech/payments/regulated environments</t>
  </si>
  <si>
    <t>Fintech / Financial Services</t>
  </si>
  <si>
    <t>Mobile/Helpline: +27 11 054 4744, WhatsApp: +27 67 328 6121</t>
  </si>
  <si>
    <t>info@ozow.com, marketing@ozow.com, sales@ozow.com, clientsupport@ozow.com</t>
  </si>
  <si>
    <t>Cape Town, South Africa</t>
  </si>
  <si>
    <t>https://job-boards.greenhouse.io/ozow/jobs/7728311003</t>
  </si>
  <si>
    <t>Greenhouse</t>
  </si>
  <si>
    <t>AI &amp; Data Specialist</t>
  </si>
  <si>
    <t>Mukuru</t>
  </si>
  <si>
    <t>Full-Time</t>
  </si>
  <si>
    <t>Microsoft BI stack (SQL, SSIS, SSRS, SSAS, Power BI), AI chatbots, Excel</t>
  </si>
  <si>
    <t>Advanced analytical thinking, data visualisation, reporting, machine learning awareness, process optimisation</t>
  </si>
  <si>
    <t>2–3 years’ experience in an Omni Customer Support environment</t>
  </si>
  <si>
    <t>Financial Services / Customer Support</t>
  </si>
  <si>
    <t>Call: +27 86 0018 555, WhatsApp: +27 86 0018 555, USSD: *130*567#</t>
  </si>
  <si>
    <t>support@mukuru.com</t>
  </si>
  <si>
    <t>Building 20, The Waverly Business Park, Wyecroft Road, Observatory, Cape Town, Western Cape, 7700, South Africa</t>
  </si>
  <si>
    <t>https://mukuru.breezy.hr/p/a5ba3fc45675-ai-data-specialist</t>
  </si>
  <si>
    <t>Breezy.hr</t>
  </si>
  <si>
    <t>Data and Financial Analyst</t>
  </si>
  <si>
    <t>Lesaka Technologies</t>
  </si>
  <si>
    <t>Permanent</t>
  </si>
  <si>
    <t>Power BI, Tableau, DataStudio, SQL, Microsoft Excel</t>
  </si>
  <si>
    <t>Data extraction, transformation, analysis, dashboard development, financial/operational reporting</t>
  </si>
  <si>
    <t>Bachelor's degree in Data Science, Info Systems, Stats, Finance, etc. + Min 2 years' experience</t>
  </si>
  <si>
    <t>Financial Services / Fintech</t>
  </si>
  <si>
    <t>Cape Town Office: +27 21 528 3460</t>
  </si>
  <si>
    <t>5 Century City Drive, Century City, Cape Town, South Africa, 7446</t>
  </si>
  <si>
    <t>https://lesakatech.simplify.hr/Vacancy/187674</t>
  </si>
  <si>
    <t>Simplify.hr</t>
  </si>
  <si>
    <t>Junior Data Engineer</t>
  </si>
  <si>
    <t>Hybrid / Permanent</t>
  </si>
  <si>
    <t>SQL, Python, Snowflake, BigQuery, Redshift, Git, Airflow, Dagster, Kafka, Kinesis</t>
  </si>
  <si>
    <t>Build/maintain ETL/ELT pipelines, SQL query optimization, version control, CI/CD concepts</t>
  </si>
  <si>
    <t>1-2 years' experience in data engineering, analytics engineering, or backend data role</t>
  </si>
  <si>
    <t>https://lesakatech.simplify.hr/Vacancy/193194</t>
  </si>
  <si>
    <t>Junior Analytics Engineer</t>
  </si>
  <si>
    <t>JUMO</t>
  </si>
  <si>
    <t>Remote / Permanent</t>
  </si>
  <si>
    <t>MySQL, PostgreSQL, Redshift, SQL Server, Excel, Github, JIRA, Tableau, Power BI, Grafana, Airflow</t>
  </si>
  <si>
    <t>Analytics, business process analysis, data query and discovery, operational reporting &amp; dashboard building</t>
  </si>
  <si>
    <t>University degree in Business, Finance, Maths, Stats, Informatics or equivalent + 2-3 years experience</t>
  </si>
  <si>
    <t>JUMO@brunswickgroup.com</t>
  </si>
  <si>
    <t>South Africa (Remote)</t>
  </si>
  <si>
    <t>https://jumo.careers.hibob.com/jobs/7db5c6f2-7279-411a-a50c-aa0945ca6e2a</t>
  </si>
  <si>
    <t>HiBob</t>
  </si>
  <si>
    <t>Spark, Kafka, Python, SQL, Airflow, AWS (Redshift), Docker, Kubernetes, Linux, MySQL, PostgreSQL</t>
  </si>
  <si>
    <t>Design/build/maintain scalable data architectures, batch and streaming data processing, CI/CD practices</t>
  </si>
  <si>
    <t>BSc. in Computer Science, Electrical Engineering or equivalent tertiary degree</t>
  </si>
  <si>
    <t>https://jumo.careers.hibob.com/jobs/a7cfa2ca-d8fe-4fff-968f-3a836ea542ee</t>
  </si>
  <si>
    <t>Software Engineer, Mobile (iOS)</t>
  </si>
  <si>
    <t>expressPay</t>
  </si>
  <si>
    <t>Ghana</t>
  </si>
  <si>
    <t>Swift, iOS SDK, RESTful APIs, Git</t>
  </si>
  <si>
    <t>Mobile development, offline storage, threading, performance tuning, UI/UX standards, analytical skills</t>
  </si>
  <si>
    <t>2+ years working experience in Mobile Development</t>
  </si>
  <si>
    <t>GHS 5,000 / month - No Limit</t>
  </si>
  <si>
    <t>Fintech / Engineering</t>
  </si>
  <si>
    <t>integrations@expresspaygh.com</t>
  </si>
  <si>
    <t>Accra, Ghana</t>
  </si>
  <si>
    <t>https://expresspaygh.com/job-listing?id=3</t>
  </si>
  <si>
    <t>expressPay Portal</t>
  </si>
  <si>
    <t>Software Engineer, Mobile (Android)</t>
  </si>
  <si>
    <t>Java, Kotlin, Android SDK, RESTful APIs, Git</t>
  </si>
  <si>
    <t>Mobile development, application architecture, performance optimization, troubleshooting</t>
  </si>
  <si>
    <t>2+ years of working experience in Mobile Development</t>
  </si>
  <si>
    <t>https://expresspaygh.com/job-listing?id=4</t>
  </si>
  <si>
    <t>Junior Software Developer</t>
  </si>
  <si>
    <t>Laiedon Innovations</t>
  </si>
  <si>
    <t>React, TypeScript, Supabase, Postgres</t>
  </si>
  <si>
    <t>Software development, bug fixing, clean code, API integration, technical documentation</t>
  </si>
  <si>
    <t>Degree, Entry level, 2 years length of experience</t>
  </si>
  <si>
    <t>NGN 150,000 - 250,000</t>
  </si>
  <si>
    <t>Engineering &amp; Technology / IT &amp; Telecoms</t>
  </si>
  <si>
    <t>support@laiedon.com</t>
  </si>
  <si>
    <t>https://www.jobberman.com/listings/junior-software-developer-er9mdv</t>
  </si>
  <si>
    <t>Jobberman</t>
  </si>
  <si>
    <t>E-direct</t>
  </si>
  <si>
    <t>Instagram, Facebook, TikTok, X (Twitter), LinkedIn, YouTube, content calendars</t>
  </si>
  <si>
    <t>Social media strategy, content creation, video production, community engagement, KPI tracking</t>
  </si>
  <si>
    <t>High School (S.S.C.E), Entry level, 2 years length of experience</t>
  </si>
  <si>
    <t>Hospitality / IT &amp; Telecoms</t>
  </si>
  <si>
    <t>07000 555 666</t>
  </si>
  <si>
    <t>support@edirect.com</t>
  </si>
  <si>
    <t>24 Iyalla Street, Alausa, Lagos, Nigeria</t>
  </si>
  <si>
    <t>https://www.jobberman.com/listings/social-media-manager-j6p728</t>
  </si>
  <si>
    <t>QA Engineer</t>
  </si>
  <si>
    <t>Jira, Selenium, Manual/Automated testing tools</t>
  </si>
  <si>
    <t>Manual and automated testing, bug tracking, test plans execution, regression/functional testing</t>
  </si>
  <si>
    <t>Degree (BSC), Entry level, 2 years length of experience</t>
  </si>
  <si>
    <t>NGN 70,000 - 150,000 (Negotiable)</t>
  </si>
  <si>
    <t>Hospitality &amp; Hotel</t>
  </si>
  <si>
    <t>https://www.jobberman.com/listings/qa-engineer-software-quality-assurance-450n6v</t>
  </si>
  <si>
    <t>Web Designer/Developer</t>
  </si>
  <si>
    <t>Wanies Halburt Ltd</t>
  </si>
  <si>
    <t>HTML, CSS, JavaScript, SEO best practices, web analytics tools</t>
  </si>
  <si>
    <t>Responsive website design, wireframes, mockups, prototypes creation, website optimization</t>
  </si>
  <si>
    <t>HND, Entry level, 2 years length of experience</t>
  </si>
  <si>
    <t>Retail, Fashion &amp; FMCG</t>
  </si>
  <si>
    <t>0808 884 4023, 0707 552 2386</t>
  </si>
  <si>
    <t>info@wanieshalburt.com</t>
  </si>
  <si>
    <t>Head Office: 54B Adeniyi Jones Avenue, Ikeja, Lagos / Warri Office: No 25, Giwa Amu Road, Warri, Delta, Nigeria</t>
  </si>
  <si>
    <t>https://www.jobberman.com/listings/web-designerdeveloper-pgg990</t>
  </si>
  <si>
    <t>MOBILE APP DEVELOPER</t>
  </si>
  <si>
    <t>Flutter, React Native, Xamarin, RESTful APIs, Git, CI/CD pipelines</t>
  </si>
  <si>
    <t>Mobile app development (iOS/Android), debugging, performance optimization, mobile UI/UX principles</t>
  </si>
  <si>
    <t>Hospitality &amp; Hotel / Software &amp; Data</t>
  </si>
  <si>
    <t>https://www.jobberman.com/listings/mobile-app-developer-8mmxjp</t>
  </si>
  <si>
    <t>Junior Data Analyst</t>
  </si>
  <si>
    <t>Mwanga</t>
  </si>
  <si>
    <t>Microsoft Excel, Google Sheets, Power BI, Tableau, SQL</t>
  </si>
  <si>
    <t>Data collection/cleaning, KPI tracking, workforce management (WFM), shift planning, critical thinking</t>
  </si>
  <si>
    <t>2 years of relevant experience, computer literacy skills</t>
  </si>
  <si>
    <t>BPO / Call Center</t>
  </si>
  <si>
    <t>info@mwanga.ng</t>
  </si>
  <si>
    <t>22-23, Mobolaji Bank Anthony Way, Lagos, Nigeria</t>
  </si>
  <si>
    <t>https://ng.jooble.org/desc/-2876550989570241722</t>
  </si>
  <si>
    <t>Jooble</t>
  </si>
  <si>
    <t>Junior Applications Developer</t>
  </si>
  <si>
    <t>TRANOS</t>
  </si>
  <si>
    <t>Full-time / On-site</t>
  </si>
  <si>
    <t>Python, Visual Basic, SQL, HTML, JavaScript, CSS, APIs, Git</t>
  </si>
  <si>
    <t>Software development, programming, data modeling, testing &amp; debugging, system integration</t>
  </si>
  <si>
    <t>Degree in Computer Science, Engineering, or a related field, or equivalent practical experience</t>
  </si>
  <si>
    <t>Engineering &amp; Technology / Software</t>
  </si>
  <si>
    <t>info@tranos.ng, sales@tranos.ng</t>
  </si>
  <si>
    <t>Head Office: 22A Guinness Road, Off ACME Road, Ogba, Ikeja, Lagos, Nigeria</t>
  </si>
  <si>
    <t>Facebook: Tranos | Ikeja</t>
  </si>
  <si>
    <t>https://ng.jooble.org/desc/-1233817562400878499</t>
  </si>
  <si>
    <t>Moniepoint Inc.</t>
  </si>
  <si>
    <t>Outsourced Hybrid Mode</t>
  </si>
  <si>
    <t>Excel, Google Sheets (VLOOKUP/XLOOKUP), CRM, POS backend, CSV files</t>
  </si>
  <si>
    <t>Data entry &amp; record management, onboarding data support, data validation &amp; QA, cross-functional collaboration</t>
  </si>
  <si>
    <t>1-3 years in data entry, data operations, or similar role (SaaS/retail tech/fintech preferred)</t>
  </si>
  <si>
    <t>Fintech / SaaS</t>
  </si>
  <si>
    <t>support@moniepoint.com</t>
  </si>
  <si>
    <t>Plot 7A, Block 4, Admiralty Road, Lekki Phase 1, Lagos State, Nigeria (Lekki, Ajah or Sangotedo Axis)</t>
  </si>
  <si>
    <t>https://ng.jooble.org/desc/-8672085831622799353</t>
  </si>
  <si>
    <t>Hospital For Trauma and Surgery</t>
  </si>
  <si>
    <t>Canva, Adobe Photoshop/Premiere Pro, CapCut, Meta Business Suite, Google Ads, Google Analytics</t>
  </si>
  <si>
    <t>Social media management, content creation, campaign management, email marketing, SEO knowledge, copywriting</t>
  </si>
  <si>
    <t>B.Sc/HND in Marketing, Mass Comm, IT, or related field + 2-3 years proven experience</t>
  </si>
  <si>
    <t>Healthcare / Retail &amp; Tech Marketing</t>
  </si>
  <si>
    <t>info@htsurgery.com</t>
  </si>
  <si>
    <t>https://ng.jooble.org/desc/-3417613491960785046</t>
  </si>
  <si>
    <t>NodeJS, JavaScript, MySQL, Redis, AWS, Google Cloud</t>
  </si>
  <si>
    <t>Backend features building/maintenance, clean and well-tested code, debugging, API improvement</t>
  </si>
  <si>
    <t>Experience building software projects through internships, coursework, bootcamps, or work</t>
  </si>
  <si>
    <t>On-demand Delivery / Tech</t>
  </si>
  <si>
    <t>hello@chowdeck.com</t>
  </si>
  <si>
    <t>7b Oba Dosumu St, Ikeja GRA, Ikeja 101233, Lagos, Nigeria</t>
  </si>
  <si>
    <t>https://ng.jooble.org/desc/4730122566898833890</t>
  </si>
  <si>
    <t>Purchasing &amp; Research Analyst - Entry Level</t>
  </si>
  <si>
    <t>The Place</t>
  </si>
  <si>
    <t>Microsoft Excel, procurement software</t>
  </si>
  <si>
    <t>Farm source research, market intelligence, procurement support, field engagement, data and reporting</t>
  </si>
  <si>
    <t>Minimum of Second Class (upper division) BSc in Agriculture/Supply Chain/Economics related field</t>
  </si>
  <si>
    <t>Hospitality / QSR / Agriculture Sourcing</t>
  </si>
  <si>
    <t>08182862824, 08183742775</t>
  </si>
  <si>
    <t>customerservice@theplace.com.ng</t>
  </si>
  <si>
    <t>Lagos, Nigeria (Operations across 35 locations including Lagos, Ibadan, Ilorin, Abeokuta and Abuja)</t>
  </si>
  <si>
    <t>https://ng.jooble.org/desc/425853932042968210</t>
  </si>
  <si>
    <t>Quality Control Analyst</t>
  </si>
  <si>
    <t>Vocational training hub</t>
  </si>
  <si>
    <t>ICT infrastructure, network security tools, ISO 27001 standards</t>
  </si>
  <si>
    <t>Evaluating/monitoring business processes, quality standards implementation, site visits &amp; data gathering</t>
  </si>
  <si>
    <t>BSc in Computer Science, IT, Cybersecurity, Info Systems or related field + 2 years experience</t>
  </si>
  <si>
    <t>Education / ICT Quality Control</t>
  </si>
  <si>
    <t>support@vocationaltraininghub.com</t>
  </si>
  <si>
    <t>https://www.glassdoor.com/Job/lagos-nigeria-analyst-entry-level-jobs-SRCH_IL.0,13_IC2543876_KO14,33.htm</t>
  </si>
  <si>
    <t>Glassdoor</t>
  </si>
  <si>
    <t>Valjes Properties</t>
  </si>
  <si>
    <t>Google Ads, Meta Ads Manager, SEO, SEM, PPC, Google Analytics, Google Search Console</t>
  </si>
  <si>
    <t>Digital marketing campaigns execution, website optimization, lead generation &amp; nurturing, market research</t>
  </si>
  <si>
    <t>BSc in Marketing, Communications, Business Admin or related field + 2 years experience</t>
  </si>
  <si>
    <t>Real Estate / Property Development</t>
  </si>
  <si>
    <t>info@valjesproperties.com</t>
  </si>
  <si>
    <t>Suite 707A, 7th Floor, Mulliner Towers, 39 Alfred Rewane Road, Ikoyi, Lagos, Nigeria</t>
  </si>
  <si>
    <t>https://www.glassdoor.com/Job/lagos-graphics-designer-entry-level-jobs-SRCH_IL.0,5_IC2543876_KO6,35.htm</t>
  </si>
  <si>
    <t>AJ Skylar</t>
  </si>
  <si>
    <t>Instagram, Facebook, TikTok, LinkedIn, Twitter/X, YouTube, Canva, Adobe Suite, CapCut, Meta Insights</t>
  </si>
  <si>
    <t>Strategic planning, content creation, community engagement, paid campaigns management, analytics</t>
  </si>
  <si>
    <t>BSc/HND in Marketing, Communications, PR, Media Studies or related + proven work experience</t>
  </si>
  <si>
    <t>Media / Digital Marketing</t>
  </si>
  <si>
    <t>admin@ajskylar.com</t>
  </si>
  <si>
    <t>Nigeria Office: 51B Oyibo Adjarho Street, Off Admiralty Road, Lekki Phase 1, Lagos, Nigeria</t>
  </si>
  <si>
    <t>UI/UX Designer</t>
  </si>
  <si>
    <t>HrmOffice Limited</t>
  </si>
  <si>
    <t>Figma, Adobe XD, Sketch, HTML, CSS</t>
  </si>
  <si>
    <t>User research, wireframing, prototyping, mockup creation, responsive and mobile-first design</t>
  </si>
  <si>
    <t>BSc in Design, Computer Science, IT, or related + 2–4 years of experience</t>
  </si>
  <si>
    <t>SaaS / Technology</t>
  </si>
  <si>
    <t>hello@hrmoffice.org</t>
  </si>
  <si>
    <t>3/5 Imam Dauda Street, Off Eric Moore Rd, Surulere, Lagos, Nigeria</t>
  </si>
  <si>
    <t>https://www.glassdoor.com/Job/lagos-software-developer-entry-level-jobs-SRCH_IL.0,5_IC2543876_KO6,36.htm</t>
  </si>
  <si>
    <t xml:space="preserve">Graphics  Designer </t>
  </si>
  <si>
    <r>
      <rPr>
        <color rgb="FF1155CC"/>
        <u/>
      </rPr>
      <t>Mirema School</t>
    </r>
  </si>
  <si>
    <t>14th - 07 - 2028</t>
  </si>
  <si>
    <t xml:space="preserve">Adobe Creative Suite, Canva, Adobe Premiere Pro, Final Cut Pro, </t>
  </si>
  <si>
    <t xml:space="preserve">communication and interpersonal skills, creativity and problem-solving ability, time management and organization skills, </t>
  </si>
  <si>
    <t>Diploma/Degree</t>
  </si>
  <si>
    <t>Education</t>
  </si>
  <si>
    <t>254 716 171 698</t>
  </si>
  <si>
    <t>admin@miremaschool.ac.ke, leads@miremaschool.ac.ke</t>
  </si>
  <si>
    <t>P.O Box 57123-0200, Mirema Drive, Nairobi</t>
  </si>
  <si>
    <r>
      <rPr>
        <color rgb="FF1155CC"/>
        <u/>
      </rPr>
      <t>Mirema School | LinkedIn</t>
    </r>
  </si>
  <si>
    <r>
      <rPr>
        <color rgb="FF1155CC"/>
        <u/>
      </rPr>
      <t>Mirema School Job Vacancies - Hiring Now | Fuzu</t>
    </r>
  </si>
  <si>
    <t>FUZU</t>
  </si>
  <si>
    <t>Product Testing Analyst (QUALITY ASSURANCE)</t>
  </si>
  <si>
    <t>Absa Group LTD</t>
  </si>
  <si>
    <t>KENYA</t>
  </si>
  <si>
    <t>14th - 07 - 2026</t>
  </si>
  <si>
    <t>test automation tools</t>
  </si>
  <si>
    <t xml:space="preserve">Collaboration skill, </t>
  </si>
  <si>
    <t>Bachelor’s degree</t>
  </si>
  <si>
    <t>27 (0) 11 350 4000</t>
  </si>
  <si>
    <t>Absa Head Quarters, Waiyaki Way, PO Box 30120, 00100 GPO, Nairobi, Kenya.</t>
  </si>
  <si>
    <t>https://www.instagram.com/absakenya/, https://www.linkedin.com/feed/update/urn:li:activity:6844555598760054784</t>
  </si>
  <si>
    <r>
      <rPr>
        <color rgb="FF1155CC"/>
        <u/>
      </rPr>
      <t>Fuzu</t>
    </r>
  </si>
  <si>
    <t>Software Enineer</t>
  </si>
  <si>
    <t>Tropical Heat Ltd</t>
  </si>
  <si>
    <t xml:space="preserve">RESTful APIs, Git, Angular </t>
  </si>
  <si>
    <t xml:space="preserve">communication and problem-solving skills, </t>
  </si>
  <si>
    <t>Diploma or degree</t>
  </si>
  <si>
    <t>Food (SPICIES)</t>
  </si>
  <si>
    <t>tel:+254733639799,</t>
  </si>
  <si>
    <t>info@tropicalheat.co.ke</t>
  </si>
  <si>
    <t>Tropical Heat Group, Tropical Heat Way, Redhill, Limuru, Kenya</t>
  </si>
  <si>
    <t>https://linkedin.com/company/tropical-heat-group, https://www.instagram.com/tropicalheat/</t>
  </si>
  <si>
    <r>
      <rPr>
        <color rgb="FF1155CC"/>
        <u/>
      </rPr>
      <t>IT, Software and Data Jobs — Latest Vacancies | Fuzu</t>
    </r>
  </si>
  <si>
    <t>Systems and app developer</t>
  </si>
  <si>
    <t>Victory Farms</t>
  </si>
  <si>
    <t>Python, JavaScript, Frappe framework, ERPNext modules, workflows,  architecture, MySQL, PostgreSQL, HTML, CSS, REST APIs</t>
  </si>
  <si>
    <t>manage multiple projects and prioritize tasks effectively, communication and collaboration skills, problem-solving and analytical skills</t>
  </si>
  <si>
    <t>AGRICULTURE</t>
  </si>
  <si>
    <t>Headquarters &amp; Victory Logistics Centre, Nairobi</t>
  </si>
  <si>
    <t>https://www.linkedin.com/company/6214041/</t>
  </si>
  <si>
    <r>
      <rPr>
        <color rgb="FF1155CC"/>
        <u/>
      </rPr>
      <t>IT, Software and Data Jobs — Latest Vacancies | Fuzu</t>
    </r>
  </si>
  <si>
    <t>Junior Systems Analyst</t>
  </si>
  <si>
    <t>14th - 07- 2026</t>
  </si>
  <si>
    <t>programming languages, databases, or software tools, software development, data analysis.</t>
  </si>
  <si>
    <t xml:space="preserve">problem-solving and analytical skills, communication and interpersonal abilities, organizational and time management skills. </t>
  </si>
  <si>
    <r>
      <rPr>
        <color rgb="FF1155CC"/>
        <u/>
      </rPr>
      <t>Junior Systems Analyst - Victory Farms Kenya</t>
    </r>
  </si>
  <si>
    <t>Company Career Page</t>
  </si>
  <si>
    <t>Data Analytics Engineer</t>
  </si>
  <si>
    <t>International rescue committee</t>
  </si>
  <si>
    <t>SQL, Python, pipeline, Git version control, Power BI, Microsoft 365, Azure Entra ID</t>
  </si>
  <si>
    <t>proficiency in English</t>
  </si>
  <si>
    <t>HEALTH, NON-PROFIT</t>
  </si>
  <si>
    <t>254 020 574488</t>
  </si>
  <si>
    <t>NAIRAOBI</t>
  </si>
  <si>
    <t>https://www.linkedin.com/company/international-rescue-committee/mycompany/</t>
  </si>
  <si>
    <r>
      <rPr>
        <color rgb="FF1155CC"/>
        <u/>
      </rPr>
      <t>Fuzu</t>
    </r>
  </si>
  <si>
    <t>Data Analyst and planner</t>
  </si>
  <si>
    <t>International Energy Service Limited</t>
  </si>
  <si>
    <t>Data analysis</t>
  </si>
  <si>
    <t>OND/HND/B.Sc</t>
  </si>
  <si>
    <t xml:space="preserve">Energy Services </t>
  </si>
  <si>
    <t>234 817 530 8719, 234 706 281 0869, +234 906 426 0131</t>
  </si>
  <si>
    <t>energyhouse@ieslglobal.com</t>
  </si>
  <si>
    <t>HEAD OFFICE - Energy House,
94 Awolowo Road, Ikoyi, Lagos 
PHC Office
12, Geodetic Road, Beside Shell IA, Rumuobiokani, Port Harcourt, Rivers State</t>
  </si>
  <si>
    <t>https://www.linkedin.com/company/ieslglobal1990/</t>
  </si>
  <si>
    <r>
      <rPr>
        <color rgb="FF1155CC"/>
        <u/>
      </rPr>
      <t>IT, Software and Data Jobs — Latest Vacancies | Fuzu</t>
    </r>
  </si>
  <si>
    <t>DATA ANALYST II</t>
  </si>
  <si>
    <t xml:space="preserve">The University Of Abuja </t>
  </si>
  <si>
    <t>B.Sc, HND</t>
  </si>
  <si>
    <t>tel:+234 903 683 6734</t>
  </si>
  <si>
    <t>info@uniabuja.edu.ng</t>
  </si>
  <si>
    <t>Main Campus Airport Road, Abuja, FCT, NIGERIA</t>
  </si>
  <si>
    <r>
      <rPr>
        <color rgb="FF1155CC"/>
        <u/>
      </rPr>
      <t>IT, Software and Data Jobs — Latest Vacancies | Fuzu</t>
    </r>
  </si>
  <si>
    <t>Sales Data Analyst</t>
  </si>
  <si>
    <t>Seven Up Bottling Company</t>
  </si>
  <si>
    <t>Microsoft Office Suite and PowerBI</t>
  </si>
  <si>
    <t>Analytical problem-solving skills</t>
  </si>
  <si>
    <t>BSC/HND</t>
  </si>
  <si>
    <t>FOOD (DRINKS)</t>
  </si>
  <si>
    <t>tel:+2348056900900</t>
  </si>
  <si>
    <t>info@sevenup.org</t>
  </si>
  <si>
    <t>Iganmu Rd, Ijora Olopa, Lagos 102272, Lagos</t>
  </si>
  <si>
    <t>https://www.linkedin.com/company/589463/admin/feed/posts/</t>
  </si>
  <si>
    <r>
      <rPr>
        <color rgb="FF1155CC"/>
        <u/>
      </rPr>
      <t>IT, Software and Data Jobs — Latest Vacancies | Fuzu</t>
    </r>
  </si>
  <si>
    <t>Sosa Cottages &amp; Villas</t>
  </si>
  <si>
    <t>Microsoft Word</t>
  </si>
  <si>
    <t>written and verbal communication skills,  customer service skills,  planning and time management skills</t>
  </si>
  <si>
    <t>HOSPITALITY</t>
  </si>
  <si>
    <t>254721 387758</t>
  </si>
  <si>
    <t>Mbale, Kenya</t>
  </si>
  <si>
    <r>
      <rPr>
        <color rgb="FF1155CC"/>
        <u/>
      </rPr>
      <t>IT, Software and Data Jobs — Latest Vacancies | Fuzu</t>
    </r>
  </si>
  <si>
    <t xml:space="preserve">Junior Data Analyst </t>
  </si>
  <si>
    <t>Persona Staff</t>
  </si>
  <si>
    <t>Permanent/ onsite</t>
  </si>
  <si>
    <t>Microsoft Excel, Power BI, SQL</t>
  </si>
  <si>
    <t xml:space="preserve">organisational and time management skills, interpret data and communicate insights clearly, analytical thinking and attention to detail, </t>
  </si>
  <si>
    <t>R15 000.00 - R18 000.00</t>
  </si>
  <si>
    <t>HR/CONSULTING</t>
  </si>
  <si>
    <t>021 975 8297</t>
  </si>
  <si>
    <t>Izra Towers, Office block C, Cnr of New and Queen street, Durbanville, 7550, South Africa.</t>
  </si>
  <si>
    <t>http://www.linkedin.com/company/persona-staff?trk=top_nav_home, https://twitter.com/personastaff</t>
  </si>
  <si>
    <r>
      <rPr>
        <color rgb="FF1155CC"/>
        <u/>
      </rPr>
      <t>Junior Data Analyst , Cape Town Northern Suburbs - Careers24</t>
    </r>
  </si>
  <si>
    <t>Careers 24 Africa</t>
  </si>
  <si>
    <t>Software Developer</t>
  </si>
  <si>
    <t xml:space="preserve">Jobberman Nigeria REcruitment </t>
  </si>
  <si>
    <t>Full time</t>
  </si>
  <si>
    <t>Node.js (JavaScript/TypeScript), Python, PHP, or Java, React.js, Next.js, or Vue.js, PostgreSQL, MySQL, RESTful APIs, GraphQL, AWS, GCP, or Azure, containerisation (Docker), and CI/CD pipelines, NDPC/NDPA</t>
  </si>
  <si>
    <t>B.Sc/HND</t>
  </si>
  <si>
    <t>HR/ RECRIUTMENT</t>
  </si>
  <si>
    <r>
      <rPr>
        <rFont val="Inter, system-ui, Roboto, &quot;Segoe UI&quot;, &quot;Helvetica Neue&quot;, Arial, sans-serif"/>
        <color rgb="FF6B7280"/>
        <sz val="14.0"/>
      </rPr>
      <t xml:space="preserve">Customer service: </t>
    </r>
    <r>
      <rPr>
        <rFont val="Arial"/>
        <color rgb="FF1155CC"/>
        <sz val="14.0"/>
        <u/>
      </rPr>
      <t>02 01 700 3855</t>
    </r>
    <r>
      <rPr>
        <rFont val="Inter, system-ui, Roboto, &quot;Segoe UI&quot;, &quot;Helvetica Neue&quot;, Arial, sans-serif"/>
        <color rgb="FF6B7280"/>
        <sz val="14.0"/>
      </rPr>
      <t xml:space="preserve">, </t>
    </r>
    <r>
      <rPr>
        <rFont val="Arial"/>
        <color rgb="FF1155CC"/>
        <sz val="14.0"/>
        <u/>
      </rPr>
      <t>+234 (0) 708 064 0600</t>
    </r>
    <r>
      <rPr>
        <rFont val="Inter, system-ui, Roboto, &quot;Segoe UI&quot;, &quot;Helvetica Neue&quot;, Arial, sans-serif"/>
        <color rgb="FF6B7280"/>
        <sz val="14.0"/>
      </rPr>
      <t xml:space="preserve">, </t>
    </r>
    <r>
      <rPr>
        <rFont val="Arial"/>
        <color rgb="FF1155CC"/>
        <sz val="14.0"/>
        <u/>
      </rPr>
      <t>+234 (0) 908 315 8379</t>
    </r>
    <r>
      <rPr>
        <rFont val="Inter, system-ui, Roboto, &quot;Segoe UI&quot;, &quot;Helvetica Neue&quot;, Arial, sans-serif"/>
        <color rgb="FF6B7280"/>
        <sz val="14.0"/>
      </rPr>
      <t>, Whatsapp: 08097202945</t>
    </r>
  </si>
  <si>
    <t>info@jobberman.com, sales@jobberman.com</t>
  </si>
  <si>
    <t>15th Floor, Elephant House, 214 Broad Street, Marina, Lagos, Nigeria.</t>
  </si>
  <si>
    <t>https://www.linkedin.com/company/jobberman, https://www.instagram.com/jobbermannigeria/</t>
  </si>
  <si>
    <r>
      <rPr>
        <color rgb="FF1155CC"/>
        <u/>
      </rPr>
      <t>Find the Right Job Vacancies in Nigeria | Jobberman</t>
    </r>
  </si>
  <si>
    <t>JOBBERMAN</t>
  </si>
  <si>
    <t>Software Quality Assurance Tester</t>
  </si>
  <si>
    <t>Snapnet Limited</t>
  </si>
  <si>
    <t>JIRA, Azure DevOps, Selenium, Postman, JMeter</t>
  </si>
  <si>
    <t>Manual and automated testing, QA methodologies, SDLC, security testing (VAPT, OWASP Top 10)</t>
  </si>
  <si>
    <t>Bachelor's degree in Computer Science/Software Engineering or related; min 2 years</t>
  </si>
  <si>
    <t>Confidential</t>
  </si>
  <si>
    <t>IT &amp; Telecoms / HR Tech</t>
  </si>
  <si>
    <t>info@snapnetsolutions.com</t>
  </si>
  <si>
    <t>17 Charles Ifeanyi Street, Off Adebayo Doherty, Lekki Phase 1, Lagos, Nigeria</t>
  </si>
  <si>
    <t>Data Scientist</t>
  </si>
  <si>
    <t>Signalcom Nigeria</t>
  </si>
  <si>
    <t>SQL, Python, Excel, Power BI, Tableau</t>
  </si>
  <si>
    <t>Data analysis, communication, collaboration</t>
  </si>
  <si>
    <t>Entry level; 0-1 years</t>
  </si>
  <si>
    <t>₦105,444 - ₦160,136/month</t>
  </si>
  <si>
    <t>Telecom</t>
  </si>
  <si>
    <t>Address 294, Road, Ikorodu, Lagos, Nigeria / Ikoyi, Lagos</t>
  </si>
  <si>
    <t>www.signcomng.com</t>
  </si>
  <si>
    <t>https://www.jobboard.ng/jobs/data-scientist-signalcom-nigeria-a763fe</t>
  </si>
  <si>
    <t>JobBoard.ng</t>
  </si>
  <si>
    <t>Greenfield Agro Ltd</t>
  </si>
  <si>
    <t>SQL, Python, Excel</t>
  </si>
  <si>
    <t>Data analysis, communication</t>
  </si>
  <si>
    <t>Junior level; 1-3 years (NYSC eligible)</t>
  </si>
  <si>
    <t>₦182,441 - ₦234,663/month</t>
  </si>
  <si>
    <t>Agriculture</t>
  </si>
  <si>
    <t>info@greenfieldagroproductsltd.com</t>
  </si>
  <si>
    <t>Lagos, Lagos State</t>
  </si>
  <si>
    <t>www.greenfieldagroproductsltd.com</t>
  </si>
  <si>
    <t>https://www.jobboard.ng/jobs/data-analyst-greenfield-agro-a95292</t>
  </si>
  <si>
    <t>UX/UI Designer</t>
  </si>
  <si>
    <t>Boston Consulting Group (BCG)</t>
  </si>
  <si>
    <t>Figma, Adobe Suite, Miro, Dovetail, Bolt, Cursor, V0, Lovable</t>
  </si>
  <si>
    <t>UX strategy, UX research, UX design, UI design, wireframing, prototyping</t>
  </si>
  <si>
    <t>Bachelor's degree in Visual Design/HCI/UX or related; Entry Level (1-3 yrs) or Senior (4-5 yrs)</t>
  </si>
  <si>
    <t>Not listed</t>
  </si>
  <si>
    <t>Casablanca, Morocco</t>
  </si>
  <si>
    <t>https://careers.bcg.com/global/en/job/56537/Delivery-%E2%80%8BAI-UX-Designer%E2%80%8B</t>
  </si>
  <si>
    <t>BCG Careers</t>
  </si>
  <si>
    <t>Business Support Officer / Business Analyst</t>
  </si>
  <si>
    <t>Sipranda Capital (for Jilipesasa)</t>
  </si>
  <si>
    <t>Microsoft Excel, Power BI, Tableau</t>
  </si>
  <si>
    <t>Product strategy, business analysis, compliance, stakeholder management, data analysis</t>
  </si>
  <si>
    <t>Bachelor's degree in Business Admin/Finance/Economics/Commerce/Statistics/Info Systems; 2-4 years</t>
  </si>
  <si>
    <t>https://www.fuzu.com/job/basic?filters%5bfeed%5d=recommended&amp;filters%5bterm%5d=data%20analyst%20&amp;filters%5bcountry_id%5d=1&amp;filters%5bjob_id%5d=925341&amp;page=1</t>
  </si>
  <si>
    <t>Fuzu</t>
  </si>
  <si>
    <t>AI Video Creator</t>
  </si>
  <si>
    <t>Oasis Consulting (Oasis Outsourcing)</t>
  </si>
  <si>
    <t>Not specified (project-based)</t>
  </si>
  <si>
    <t>Veo, Runway, Kling, Pika, Midjourney, Flux, ElevenLabs, ChatGPT</t>
  </si>
  <si>
    <t>Prompt engineering, AI video creation, storytelling, editing</t>
  </si>
  <si>
    <t>Degree; Entry level; 3 years</t>
  </si>
  <si>
    <t>Consulting / Marketing</t>
  </si>
  <si>
    <t>outsource@oasisoutsourcing.co.ke</t>
  </si>
  <si>
    <t>Royal Offices, 3rd Floor, Office 33, Mogotio Road, Kenya</t>
  </si>
  <si>
    <t>https://www.fuzu.com/kenya/job/nairobi?filters%5btown_id%5d%5b%5d=125982&amp;filters%5bterm%5d=content%20creator&amp;filters%5bcountry_id%5d=1&amp;filters%5bjob_id%5d=927420&amp;page=1</t>
  </si>
  <si>
    <t>Social Media Manager / Content Creator (Internship)</t>
  </si>
  <si>
    <t>Lamlan Digital Solutions Inc</t>
  </si>
  <si>
    <t>Canva, Photoshop, CapCut, InShot, Meta Business Suite</t>
  </si>
  <si>
    <t>Content creation, social media management, copywriting</t>
  </si>
  <si>
    <t>Diploma or Degree in Marketing/Communications/Media Studies; Internship &amp; Graduate level; 1 year</t>
  </si>
  <si>
    <t>Marketing &amp; Communications</t>
  </si>
  <si>
    <t>13Marcus Garvey road. Kilimani, Nairobi.th Floor, Highway Heights</t>
  </si>
  <si>
    <t>https://www.brightermonday.co.ke/listings/social-media-manager-content-creator-internship-d9rmk8</t>
  </si>
  <si>
    <t>BrighterMonday</t>
  </si>
  <si>
    <t>Compovine Technology Nigeria Limited</t>
  </si>
  <si>
    <t>Full-time (On-site)</t>
  </si>
  <si>
    <t>Adobe Photoshop, Illustrator, InDesign, CorelDRAW</t>
  </si>
  <si>
    <t>Branding, visual communication, basic video editing/motion graphics</t>
  </si>
  <si>
    <t>OND, HND, or Bachelor's Degree in Graphic Design/Fine Arts/Computer Science; 1-3 years</t>
  </si>
  <si>
    <t>IT Services &amp; Repairs</t>
  </si>
  <si>
    <t>puole.cletus@compovine.com</t>
  </si>
  <si>
    <t>Durban, KwaZulu-Natal, South Africa</t>
  </si>
  <si>
    <t>https://www.jobzilla.ng/jobs/graphic-designer-at-compovine-technology-nigeria-limited-288890</t>
  </si>
  <si>
    <t>Jobzilla</t>
  </si>
  <si>
    <t>ERP system, Microsoft Excel</t>
  </si>
  <si>
    <t>Data entry, inventory management, stock reconciliation</t>
  </si>
  <si>
    <t>High School; Entry level; 0-1 year</t>
  </si>
  <si>
    <t>Fashion</t>
  </si>
  <si>
    <t>team@ikwetta.com</t>
  </si>
  <si>
    <t>https://www.brightermonday.co.ke/listings/data-entry-z82g7d</t>
  </si>
  <si>
    <t>Simplepay Capital Limited</t>
  </si>
  <si>
    <t>Node.js, TypeScript, Express.js, NestJS, PostgreSQL, MySQL, Redis, Docker, Git, GitHub/GitLab, AWS/Azure/DigitalOcean</t>
  </si>
  <si>
    <t>Backend development, REST APIs, database optimization, security best practices</t>
  </si>
  <si>
    <t>Bachelor's degree in Computer Science/Software Engineering/IT; 3 years</t>
  </si>
  <si>
    <t>info@simplepay.capital</t>
  </si>
  <si>
    <t>Suite 902, 9th Floor, Westside Towers. Lower Kabete Rd. Westlands, Nairobi, Kenya</t>
  </si>
  <si>
    <t>https://www.brightermonday.co.ke/listings/backend-developer-z8v44d</t>
  </si>
  <si>
    <t>Iknorbert Communications Limited</t>
  </si>
  <si>
    <t>Côte d'Ivoire</t>
  </si>
  <si>
    <t>Data analysis, business intelligence, reporting</t>
  </si>
  <si>
    <t>Bachelor's Degree in Statistics/Mathematics/Computer Science/Data Science/Economics; 3 years</t>
  </si>
  <si>
    <t>Communications / Telecom</t>
  </si>
  <si>
    <t>https://www.jobzilla.ng/jobs/data-analyst-at-iknorbert-communications-limited-291293</t>
  </si>
  <si>
    <t>Laravel Developer / Full Stack Web Developer</t>
  </si>
  <si>
    <t>Goodnews Consulting</t>
  </si>
  <si>
    <t>PHP, Laravel, MySQL, HTML5, CSS3, JavaScript, Bootstrap/Tailwind CSS, Vue.js, React, AWS, DigitalOcean, Docker</t>
  </si>
  <si>
    <t>Full stack web development, REST APIs, microservices</t>
  </si>
  <si>
    <t>Bachelor's degree in Computer Science/Software Engineering or equivalent; 2 years</t>
  </si>
  <si>
    <t>HR Consulting</t>
  </si>
  <si>
    <t>Lekki, Lagos</t>
  </si>
  <si>
    <t>https://www.jobzilla.ng/jobs/laravel-developer-at-goodnews-consulting-278904#google_vignette</t>
  </si>
  <si>
    <t>Software Developer II (Contract)</t>
  </si>
  <si>
    <t>The Focus Group</t>
  </si>
  <si>
    <t>NodeJS, Azure DevOps, Azure AKS, Kubernetes, Docker, Elastic Stack, Dynatrace, Grafana</t>
  </si>
  <si>
    <t>Full stack development, agile development, SDLC</t>
  </si>
  <si>
    <t>Matric/Grade 12; Diploma preferred; min 3 years programming experience</t>
  </si>
  <si>
    <t>Sandton, South Africa</t>
  </si>
  <si>
    <t>https://www.pnet.co.za/jobs--Software-Developer-II-Contract-Sandton-South-Africa-The-Focus-Group--4224666-inline.html?rltr=4_4_25_seorl_s_0_0_0_0_0_0</t>
  </si>
  <si>
    <t>PNet</t>
  </si>
  <si>
    <t>Enet Technologies</t>
  </si>
  <si>
    <t>Git</t>
  </si>
  <si>
    <t>Java, Python, C++, JavaScript, React, Angular, Node.js, Django, Agile/Scrum</t>
  </si>
  <si>
    <t>Bachelor's degree in Computer Science, Software Engineering, or related field; 2+ years experience</t>
  </si>
  <si>
    <t>Cybersecurity / Cloud / Fintech Infrastructure</t>
  </si>
  <si>
    <t>bogle@enettech.com</t>
  </si>
  <si>
    <t>Abuja, FCT</t>
  </si>
  <si>
    <t>Joseph Happiness</t>
  </si>
  <si>
    <t>https://www.careerjet.com.ng/jobad/nga877a67867a127a1e93b555c9eeaf6e9</t>
  </si>
  <si>
    <t>CareerJet Nigeria</t>
  </si>
  <si>
    <t>Frontend UI Engineer (Pixel-Perfect Interfaces)</t>
  </si>
  <si>
    <t>Gramian Consulting Group</t>
  </si>
  <si>
    <t>TypeScript, CSS3</t>
  </si>
  <si>
    <t>Responsive design, pixel-perfect implementation, component libraries, design systems</t>
  </si>
  <si>
    <t>Minimum 3 years professional frontend engineering experience</t>
  </si>
  <si>
    <t>$35 - $50/hour</t>
  </si>
  <si>
    <t>IT / Engineering Talent Consulting</t>
  </si>
  <si>
    <t>lena@gramianconsulting.com</t>
  </si>
  <si>
    <t>Nigeria (Remote)</t>
  </si>
  <si>
    <t>https://www.careerjet.com.ng/jobad/nge9b546857b2f69d3abc57a46a5a80ef7</t>
  </si>
  <si>
    <t>Capinta Consult Limited</t>
  </si>
  <si>
    <t>Canva, CapCut</t>
  </si>
  <si>
    <t>Content creation, copywriting, social media management</t>
  </si>
  <si>
    <t>Degree; Entry level; 2 years experience</t>
  </si>
  <si>
    <t>NGN 100,000 - 150,000/month</t>
  </si>
  <si>
    <t>Fitness / Gym</t>
  </si>
  <si>
    <t>Obiwali Rd, Rumuigbo, Port Harcourt, Rivers State</t>
  </si>
  <si>
    <t>https://www.linkedin.com/in/capinta-consult-6632113a2</t>
  </si>
  <si>
    <t>https://www.careerjet.com.ng/jobad/ng87f4b9007f0944e4e7e3d585c10ad5cc</t>
  </si>
  <si>
    <t>Geoinfotech Resources Limited</t>
  </si>
  <si>
    <t>Meta Business Suite, Hootsuite, Buffer, Google Analytics, Canva, Adobe Creative Suite, CapCut</t>
  </si>
  <si>
    <t>Social media strategy, content creation, SEO, digital marketing, copywriting</t>
  </si>
  <si>
    <t>Bachelor's degree in Marketing/Communications/Business or related; Mid level; 3-4 years</t>
  </si>
  <si>
    <t>Mail@geoinfotech.ng</t>
  </si>
  <si>
    <t>https://www.careerjet.com.ng/jobad/ng7d6bc19e1bd396f28d79c73205efd55f</t>
  </si>
  <si>
    <t>Irecharge Tech Innovations Ltd</t>
  </si>
  <si>
    <t>Google Ads, Meta Ads Manager, LinkedIn Campaign Manager, Google Analytics, CRM platforms</t>
  </si>
  <si>
    <t>SEO, SEM, email marketing, campaign management, market research</t>
  </si>
  <si>
    <t>Bachelor's degree in Marketing/Communications/Business; certifications a plus; Mid level; 3-4 years</t>
  </si>
  <si>
    <t>Banking / Fintech</t>
  </si>
  <si>
    <t>https://www.linkedin.com/company/irecharge-tech-innovations/</t>
  </si>
  <si>
    <t>https://www.careerjet.com.ng/jobad/ng284d9e0e43fa7c6923dfd98a6f1af069</t>
  </si>
  <si>
    <t>Ellasot Consulting (for Oil &amp; Gas client)</t>
  </si>
  <si>
    <t>Social media analytics tools</t>
  </si>
  <si>
    <t>Social media strategy, content creation, basic graphic design/video editing, KPI tracking</t>
  </si>
  <si>
    <t>Bachelor's degree in Marketing/Communications/Business (preferred)</t>
  </si>
  <si>
    <t>Oil &amp; Gas</t>
  </si>
  <si>
    <t>frontdeskellasot@gmail.com</t>
  </si>
  <si>
    <t>https://www.careerjet.com.ng/jobad/ng979a29bf7c4c30f9e18adb41b8e38276</t>
  </si>
  <si>
    <t>Research Data Analyst</t>
  </si>
  <si>
    <t>iLotBet</t>
  </si>
  <si>
    <t>Data analysis, market research, reporting</t>
  </si>
  <si>
    <t>OND minimum; Entry level; 1 year</t>
  </si>
  <si>
    <t>Betting / Gaming</t>
  </si>
  <si>
    <t>https://www.careerjet.com.ng/jobad/ngda16c36125962a016894d6b38ff4975c</t>
  </si>
  <si>
    <t>Seven-Up Bottling Company</t>
  </si>
  <si>
    <t>Microsoft Office Suite, Power BI, SAP (advantage)</t>
  </si>
  <si>
    <t>Sales data analysis, CRM management, market trend analysis</t>
  </si>
  <si>
    <t>BSc/HND in relevant field; membership of professional bodies; min 3 years experience</t>
  </si>
  <si>
    <t>FMCG / Beverage Bottling</t>
  </si>
  <si>
    <t>https://www.careerjet.com.ng/jobad/ng765a333d2ba9ed0ecac5eec7a83986ec</t>
  </si>
  <si>
    <t>Dashboard/BI tools (unspecified)</t>
  </si>
  <si>
    <t>Data analysis, sales &amp; supply chain analysis, dashboard building</t>
  </si>
  <si>
    <t>BSc degree; Entry level; 1 year</t>
  </si>
  <si>
    <t>Beverage / Distillery</t>
  </si>
  <si>
    <t>info@ndl-ng.com</t>
  </si>
  <si>
    <t>https://www.careerjet.com.ng/jobad/ngfad5cd1f593781d7a7758d4518b11b3d</t>
  </si>
  <si>
    <t>AI Automation Engineer (Claude Code &amp; AI Agents)</t>
  </si>
  <si>
    <t>Bamboo Works</t>
  </si>
  <si>
    <t>Claude Code, n8n, Make, Docker, Git, REST APIs, Python</t>
  </si>
  <si>
    <t>AI agent development, prompt engineering, workflow automation</t>
  </si>
  <si>
    <t>3+ years experience building AI-powered applications/automation systems</t>
  </si>
  <si>
    <t>USD $900/month</t>
  </si>
  <si>
    <t>Marketing &amp; Operations</t>
  </si>
  <si>
    <t>info@bambooworks.io</t>
  </si>
  <si>
    <t>https://www.linkedin.com/company/bamboo-works-llc/</t>
  </si>
  <si>
    <t>https://www.careerjet.co.za/jobad/za28893651359e6419c3cbecf0e32703ca</t>
  </si>
  <si>
    <t>CareerJet South Africa</t>
  </si>
  <si>
    <t>Full Stack AI Engineer (AI Automation, RAG and Workflow Applications)</t>
  </si>
  <si>
    <t>A1L Realizations (A1L Digital)</t>
  </si>
  <si>
    <t>React, Next.js, TypeScript, Python, FastAPI, Node.js, PostgreSQL, Azure AI Foundry, Azure OpenAI, OpenAI API, Claude API, LangChain, LangGraph, Semantic Kernel, GitHub, Azure DevOps</t>
  </si>
  <si>
    <t>Full-stack development, RAG, AI orchestration, API integration, prompt engineering</t>
  </si>
  <si>
    <t>5+ years full-stack/backend/AI dev experience; 2+ years cloud applications</t>
  </si>
  <si>
    <t>Enterprise Technology / Fintech</t>
  </si>
  <si>
    <t>enquiries@a1ldigital.com</t>
  </si>
  <si>
    <t>https://www.careerjet.co.za/jobad/za1e8d728add224cdad8d00d62315830b5</t>
  </si>
  <si>
    <t>AI Automation Engineer</t>
  </si>
  <si>
    <t>RAY AI</t>
  </si>
  <si>
    <t>Asana, ClickUp, Notion, Trello, n8n, Zapier, Make, HubSpot, Salesforce, Pipedrive, Meta Business Suite, Mailchimp, Canva, Slack, Zoom, Microsoft Teams, Calendly, ChatGPT, Notion AI, Fireflies, Reclaim.ai, Otter.ai</t>
  </si>
  <si>
    <t>Automation, digital operations, CRM management, executive support</t>
  </si>
  <si>
    <t>Bachelor's degree or equivalent professional experience</t>
  </si>
  <si>
    <t>Up to R20,000/month</t>
  </si>
  <si>
    <t>Automation / Business Operations Services</t>
  </si>
  <si>
    <t>info@getray.ai</t>
  </si>
  <si>
    <t>Cape Town, Western Cape, South Africa</t>
  </si>
  <si>
    <t>https://www.linkedin.com/company/getray-ai/</t>
  </si>
  <si>
    <t>https://www.careerjet.co.za/jobad/zaf832b215459726c98cb90344adecd304</t>
  </si>
  <si>
    <t>JobCrystal (client: clothing manufacturer)</t>
  </si>
  <si>
    <t>Adobe Photoshop, CAD software</t>
  </si>
  <si>
    <t>Graphic design, garment/apparel design</t>
  </si>
  <si>
    <t>2+ years experience as Graphic Designer</t>
  </si>
  <si>
    <t>R20,000/month</t>
  </si>
  <si>
    <t>Clothing / Apparel Manufacturing</t>
  </si>
  <si>
    <t>info@jobcrystal.com</t>
  </si>
  <si>
    <t>https://www.careerjet.co.za/jobad/zad3c4ca4de1a679c0867ccd98ee2f9f73</t>
  </si>
  <si>
    <t>Financial Analyst</t>
  </si>
  <si>
    <t>Abantu Staffing Solutions (client: Volkswagen Group SA)</t>
  </si>
  <si>
    <t>Microsoft Excel, PowerPoint</t>
  </si>
  <si>
    <t>Financial analysis, pricing analysis, budgeting</t>
  </si>
  <si>
    <t>South African citizen (affirmative action); 3-5 years relevant experience</t>
  </si>
  <si>
    <t>Automotive / Finance</t>
  </si>
  <si>
    <t>Sandton, Johannesburg, South Africa</t>
  </si>
  <si>
    <t>https://www.linkedin.com/company/abantu-staffing-solutions/</t>
  </si>
  <si>
    <t>https://www.careerjet.co.za/jobad/za71e55170c7008e1a8435c192634902a2</t>
  </si>
  <si>
    <t>Data analysis, reporting, forecasting</t>
  </si>
  <si>
    <t>Bachelor's degree in Finance/Data Analytics/Statistics/Economics/Mathematics/Info Systems; 0-2 years</t>
  </si>
  <si>
    <t>R15,000 - 18,000/month</t>
  </si>
  <si>
    <t>Staffing / Recruitment</t>
  </si>
  <si>
    <t>https://www.linkedin.com/company/careers24</t>
  </si>
  <si>
    <t>https://www.careerjet.co.za/jobad/za55c1809d534ee922fb9d0cba5f1ea5dc</t>
  </si>
  <si>
    <t>Data Analyst: Analytics and Visualization</t>
  </si>
  <si>
    <t>Jurumani Solutions</t>
  </si>
  <si>
    <t>Power BI, DAX, Python, Pandas, Polars, Kibana, ELK stack</t>
  </si>
  <si>
    <t>Data visualization, analytics, data storytelling</t>
  </si>
  <si>
    <t>Technology / Telecommunications</t>
  </si>
  <si>
    <t>info@jurumani.com</t>
  </si>
  <si>
    <t>Midrand, Johannesburg, South Africa</t>
  </si>
  <si>
    <t>https://www.careerjet.co.za/jobad/za90eed25c6d40bcd68ccb641ec314569a</t>
  </si>
  <si>
    <t>Data Analyst (Banking-as-a-Service | AML/KYC)</t>
  </si>
  <si>
    <t>Ovations Technologies</t>
  </si>
  <si>
    <t>ETL tools (unspecified)</t>
  </si>
  <si>
    <t>Data mapping, data quality, AML/KYC compliance</t>
  </si>
  <si>
    <t>Experience as Data Analyst within Banking/Financial Services/Fintech</t>
  </si>
  <si>
    <t>info@ovationsgroup.com</t>
  </si>
  <si>
    <t>Johannesburg, Gauteng, South Africa</t>
  </si>
  <si>
    <t>https://www.careerjet.co.za/jobad/zaf74c65afaad2fbc8689e445fea02f0de</t>
  </si>
  <si>
    <t>Data Integrity Operations Analyst (12-month Contract)</t>
  </si>
  <si>
    <t>Consilio</t>
  </si>
  <si>
    <t>SQL, Python, Excel, Power BI, Tableau, Salesforce, Bullhorn</t>
  </si>
  <si>
    <t>Data governance, data validation, data integrity</t>
  </si>
  <si>
    <t>Bachelor's degree in Data Analytics/Info Systems/Computer Science or equivalent; 1-3 years</t>
  </si>
  <si>
    <t>Legal / eDiscovery Services</t>
  </si>
  <si>
    <t>https://www.careerjet.co.za/jobad/za9d1ab4692bf8e41a9c569a3710722f2e</t>
  </si>
  <si>
    <t>Data Entry Specialist</t>
  </si>
  <si>
    <t>Remote Recruitment</t>
  </si>
  <si>
    <t>Excel, Google Sheets</t>
  </si>
  <si>
    <t>Data entry, accuracy, organisation</t>
  </si>
  <si>
    <t>Experience with data entry or similar admin role</t>
  </si>
  <si>
    <t>R12,000 - 15,000/month</t>
  </si>
  <si>
    <t>Recruitment / Staffing</t>
  </si>
  <si>
    <t>https://www.careerjet.co.za/jobad/za11326e07142cd298cb30c74146f1dc44</t>
  </si>
  <si>
    <t>Social Media Manager - LA hours (Part-time)</t>
  </si>
  <si>
    <t>VirtuHire</t>
  </si>
  <si>
    <t>Shopify, Google Ads, Meta Ads</t>
  </si>
  <si>
    <t>Social media management, graphic design, video editing, SEO, paid advertising</t>
  </si>
  <si>
    <t>eCommerce / Media</t>
  </si>
  <si>
    <t>https://www.careerjet.co.za/jobad/zab1b1eb6c674cbeffdfe3701e7d1ba730</t>
  </si>
  <si>
    <t>Social Media Manager (Content Creation)</t>
  </si>
  <si>
    <t>Tune Collective / TUNE Studios</t>
  </si>
  <si>
    <t>CapCut, Premiere, Figma, Adobe, Canva</t>
  </si>
  <si>
    <t>Content creation, social strategy, community management</t>
  </si>
  <si>
    <t>~2+ years in social media with hands-on content creation</t>
  </si>
  <si>
    <t>Rate by agreement (not listed)</t>
  </si>
  <si>
    <t>Media / Creative Studio</t>
  </si>
  <si>
    <t>cathy.holmquist@tunestudio.co</t>
  </si>
  <si>
    <t>https://www.careerjet.co.za/jobad/za7452b6dc0afa154c6d294d1e5427fac3</t>
  </si>
  <si>
    <t>Virtual Assistant</t>
  </si>
  <si>
    <t>Google Workspace, Microsoft Office</t>
  </si>
  <si>
    <t>Administrative support, scheduling, travel arrangements</t>
  </si>
  <si>
    <t>Experience with virtual assistant or admin work</t>
  </si>
  <si>
    <t>R12,000 - 17,000/month</t>
  </si>
  <si>
    <t>https://www.careerjet.co.za/jobad/za741341c5b4d09b8b77803ca8b7a922d7</t>
  </si>
  <si>
    <t>Virtual Assistant / Customer Service Agent</t>
  </si>
  <si>
    <t>Employmate</t>
  </si>
  <si>
    <t>Booking system (unspecified), phone systems</t>
  </si>
  <si>
    <t>Customer service, communication, data entry</t>
  </si>
  <si>
    <t>Prior experience in customer service</t>
  </si>
  <si>
    <t>R10,000 - 12,000/month</t>
  </si>
  <si>
    <t>Hospitality</t>
  </si>
  <si>
    <t>https://www.careerjet.co.za/jobad/za9a4165138bf9ff072f074033e05e430f</t>
  </si>
  <si>
    <t xml:space="preserve">Lauren Parker Limited </t>
  </si>
  <si>
    <t xml:space="preserve">Excel, Power Bi, SPSS, SQL, Tableau </t>
  </si>
  <si>
    <t xml:space="preserve">Analytical, reporting </t>
  </si>
  <si>
    <t>National Diploma; 1-3years experience in data analysis but 2 years is required</t>
  </si>
  <si>
    <t xml:space="preserve">Ajiboye Pius </t>
  </si>
  <si>
    <r>
      <rPr>
        <rFont val="&quot;Times New Roman&quot;,serif"/>
        <color rgb="FF1155CC"/>
        <sz val="14.0"/>
        <u/>
      </rPr>
      <t>https://ng.indeed.com/jobs?q=lauren+parker+limited&amp;l=Nigeria&amp;from=searchOnDesktopSerp&amp;vjk=888397676b63e1ff</t>
    </r>
  </si>
  <si>
    <t>Indeed Nigeria</t>
  </si>
  <si>
    <t>HTML, CSS, JavaScript, and other relevant web technologies</t>
  </si>
  <si>
    <t>SEO best practices, web analytics tools</t>
  </si>
  <si>
    <t>Higher National Diploma; 2 years</t>
  </si>
  <si>
    <t>NGN70,000 - 150,000</t>
  </si>
  <si>
    <t>Retail Fashion/FMCG</t>
  </si>
  <si>
    <r>
      <rPr>
        <rFont val="&quot;Times New Roman&quot;,serif"/>
        <color rgb="FF1155CC"/>
        <sz val="14.0"/>
        <u/>
      </rPr>
      <t>https://www.jobberman.com/listings/web-designerdeveloper-pgg990</t>
    </r>
  </si>
  <si>
    <t>Jobberman Nigeria</t>
  </si>
  <si>
    <t>Kenkeputa</t>
  </si>
  <si>
    <t>Figma, Adobe XD, Sketch, or equivalent</t>
  </si>
  <si>
    <t>UI/UX Design, Product Design, or a similar role</t>
  </si>
  <si>
    <t>Bachelor's degree in Design/Computer Science/Human Computer Interaction or related field with a minimum of Second Class Upper (2:1)</t>
  </si>
  <si>
    <t>NGN150,000 - 250,000</t>
  </si>
  <si>
    <t>IT &amp; Telecoms</t>
  </si>
  <si>
    <r>
      <rPr>
        <rFont val="&quot;Times New Roman&quot;,serif"/>
        <color rgb="FF1155CC"/>
        <sz val="14.0"/>
        <u/>
      </rPr>
      <t>https://www.jobberman.com/listings/uiux-designer-x8g8pj</t>
    </r>
  </si>
  <si>
    <t>Brit Properties Nig. Ltd</t>
  </si>
  <si>
    <t>Designing tools</t>
  </si>
  <si>
    <t>Collaboration, Communication, Project Management</t>
  </si>
  <si>
    <t>Bachelor of Science</t>
  </si>
  <si>
    <t>Real Estate</t>
  </si>
  <si>
    <r>
      <rPr>
        <rFont val="&quot;Times New Roman&quot;,serif"/>
        <color rgb="FF1155CC"/>
        <sz val="14.0"/>
        <u/>
      </rPr>
      <t>https://www.jobberman.com/listings/graphic-design-pgg074</t>
    </r>
  </si>
  <si>
    <t>Excel/Google Sheets</t>
  </si>
  <si>
    <t>Cross-Functional Collaboration, Data Validation, Data Entry, Quality Assurance</t>
  </si>
  <si>
    <t>1-3 years in data entry, data operations - in SaaS, retail tech</t>
  </si>
  <si>
    <t>u.peace@moonlight-logistics.com</t>
  </si>
  <si>
    <t>Oredo and Ikpoba Okha, Edo</t>
  </si>
  <si>
    <r>
      <rPr>
        <rFont val="&quot;Times New Roman&quot;,serif"/>
        <color rgb="FF1155CC"/>
        <sz val="14.0"/>
        <u/>
      </rPr>
      <t>https://ng.indeed.com/viewjob?jk=ddce649a7caf71e0&amp;tk=1jteoc3phk1uo800&amp;from=serp&amp;vjs=3</t>
    </r>
  </si>
  <si>
    <t>Carpa Healthcare</t>
  </si>
  <si>
    <t>Word, Excel, Google Docs</t>
  </si>
  <si>
    <t>High typing speed, Time management, Communication</t>
  </si>
  <si>
    <t>NGN100,000 - NGN300,000</t>
  </si>
  <si>
    <t>contact@carpahealthcare.com</t>
  </si>
  <si>
    <t>: 89, Atiku Abubakar Avenue, Uyo, Akwa Ibom State, Nigeria</t>
  </si>
  <si>
    <r>
      <rPr>
        <rFont val="&quot;Times New Roman&quot;,serif"/>
        <color rgb="FF1155CC"/>
        <sz val="14.0"/>
        <u/>
      </rPr>
      <t>https://ng.indeed.com/viewjob?jk=8b91ca3f68c18501&amp;tk=1jteoc3phk1uo800&amp;from=serp&amp;vjs=3</t>
    </r>
  </si>
  <si>
    <t>Social Media Manager / Content Creator</t>
  </si>
  <si>
    <t xml:space="preserve">Lamlan Digital Solutions Inc.
</t>
  </si>
  <si>
    <t>Nairobi</t>
  </si>
  <si>
    <t xml:space="preserve">not specified </t>
  </si>
  <si>
    <t>Canva, Photoshop, CapCut, InShot.Meta Business Suite, analytics tools,</t>
  </si>
  <si>
    <t>Create engaging content,Run and optimize paid ad campaigns, Track and report KPIs i</t>
  </si>
  <si>
    <t>Minimum of 1-2 years’ proven experience managing social media accounts for a brand.</t>
  </si>
  <si>
    <t>NGN160000</t>
  </si>
  <si>
    <t xml:space="preserve">Marketing &amp; Communications
</t>
  </si>
  <si>
    <t xml:space="preserve">nill </t>
  </si>
  <si>
    <t>nill</t>
  </si>
  <si>
    <t>brightermonday.co.ke</t>
  </si>
  <si>
    <t xml:space="preserve">Duru Ruth </t>
  </si>
  <si>
    <r>
      <rPr>
        <rFont val="Verdana,sans-serif"/>
        <b/>
        <color rgb="FF1155CC"/>
        <sz val="12.0"/>
        <u/>
      </rPr>
      <t>https://www.brightermonday.co.ke/listings/social-media-manager-content-creator-internship-d9rmk8</t>
    </r>
  </si>
  <si>
    <t>Gafford Property and Homes Limited</t>
  </si>
  <si>
    <t>Familiarity with digital platforms</t>
  </si>
  <si>
    <t>Content Creation, copywriting skills</t>
  </si>
  <si>
    <t>NGN100,000 -200,000</t>
  </si>
  <si>
    <t>08077777077, 08023058429</t>
  </si>
  <si>
    <r>
      <rPr>
        <rFont val="&quot;Times New Roman&quot;,serif"/>
        <color rgb="FF1155CC"/>
        <sz val="14.0"/>
        <u/>
      </rPr>
      <t>https://ng.indeed.com/viewjob?cmp=Gafford-Property-%2526-Homes&amp;t=Digital+Marketer&amp;jk=2b3bb7d44036e998&amp;xpse=SoCg67I3hvLmHawApp0LbzkdCdPP&amp;xfps=dbfc6030-e581-4f7f-b0b0-c3c3ae19fdd3&amp;xkcb=SoCb67M3hvLsRAgb0z0LbzkdCdPP&amp;vjs=3</t>
    </r>
  </si>
  <si>
    <t>REACT, HTML, CSS, Java and Web development tools</t>
  </si>
  <si>
    <t>UI/UX Design</t>
  </si>
  <si>
    <t>Good interpersonal skills</t>
  </si>
  <si>
    <t xml:space="preserve">NGN150,000 </t>
  </si>
  <si>
    <r>
      <rPr>
        <rFont val="&quot;Times New Roman&quot;,serif"/>
        <color rgb="FF1155CC"/>
        <sz val="14.0"/>
        <u/>
      </rPr>
      <t>https://ng.indeed.com/viewjob?cmp=Gafford-Property-%2526-Homes&amp;t=Digital+Marketer&amp;jk=2b3bb7d44036e998&amp;xpse=SoCg67I3hvLmHawApp0LbzkdCdPP&amp;xfps=dbfc6030-e581-4f7f-b0b0-c3c3ae19fdd3&amp;xkcb=SoCb67M3hvLsRAgb0z0LbzkdCdPP&amp;vjs=3</t>
    </r>
  </si>
  <si>
    <t>IT Business Analyst</t>
  </si>
  <si>
    <t>Etisalat Egypt</t>
  </si>
  <si>
    <t>Excel, Power, Jira, Ms Project</t>
  </si>
  <si>
    <t>Presentation, Analytical skills</t>
  </si>
  <si>
    <t>Bachelor's degree in Business Admin/Information Technology; 2-3 years</t>
  </si>
  <si>
    <t>IT/Software Development</t>
  </si>
  <si>
    <t>New Cairo, Egypt</t>
  </si>
  <si>
    <t>Facebook: e&amp; Egypt</t>
  </si>
  <si>
    <r>
      <rPr>
        <rFont val="&quot;Times New Roman&quot;,serif"/>
        <color rgb="FF1155CC"/>
        <sz val="14.0"/>
        <u/>
      </rPr>
      <t>https://wuzzuf.net/jobs/p/1reuagaroqkn-it-business-analyst-etisalat-egypt-cairo-egypt?o=3&amp;l=sp&amp;t=sj&amp;a=search-v3</t>
    </r>
  </si>
  <si>
    <t>Wuzzuf</t>
  </si>
  <si>
    <t xml:space="preserve">Social Media &amp; Content Growth Specialist
</t>
  </si>
  <si>
    <t>BKG Consultants</t>
  </si>
  <si>
    <t>full time</t>
  </si>
  <si>
    <t xml:space="preserve">social media accounts, creating content
</t>
  </si>
  <si>
    <t>Track performance metrics, execute email marketing campaigns</t>
  </si>
  <si>
    <t xml:space="preserve">Diploma, Internship &amp; Graduate(No Experience/Less than 1 year)
</t>
  </si>
  <si>
    <t>160000-320000</t>
  </si>
  <si>
    <t xml:space="preserve">Creative &amp; Design
</t>
  </si>
  <si>
    <t>Nill</t>
  </si>
  <si>
    <t>https://www.brightermonday.co.ke/listings/social-media-content-growth-specialist-rrzr2n</t>
  </si>
  <si>
    <t>Digital Marketing &amp; Content Creator</t>
  </si>
  <si>
    <t>Kazipoint Services</t>
  </si>
  <si>
    <t>Meta Business Suite, Canva, CapCut, Adobe</t>
  </si>
  <si>
    <t>interpersonal skills. Highly creative and innovative, Digital Marketing,</t>
  </si>
  <si>
    <t>▪️Certificate, Diploma or Degree in Marketing, Digital Marketing,</t>
  </si>
  <si>
    <t>213,000-267,000</t>
  </si>
  <si>
    <t>Creative &amp; Design</t>
  </si>
  <si>
    <r>
      <rPr>
        <rFont val="Arial,sans-serif"/>
        <color rgb="FF1155CC"/>
        <sz val="12.0"/>
        <u/>
      </rPr>
      <t>https://www.brightermonday.co.ke/listings/digital-marketing-content-creator-5-positions-vd4dqm</t>
    </r>
  </si>
  <si>
    <t>14/07/2026</t>
  </si>
  <si>
    <t>Git, HTML, CSS, JavaScript, API Testing</t>
  </si>
  <si>
    <t>Functional Testing, Exploratory Testing, API Testing, Analytical Skills, Communication, Attention to Detail</t>
  </si>
  <si>
    <t>IT Qualification</t>
  </si>
  <si>
    <t>\(+27 \ 21 \ 556 \ 2724\)</t>
  </si>
  <si>
    <t>webinfo@archsoftware.co.za</t>
  </si>
  <si>
    <t>https://www.archretail.com/</t>
  </si>
  <si>
    <t>Data Analysis, Dashboarding, KPI Tracking, Financial Analysis, Business Analysis, Communication</t>
  </si>
  <si>
    <t>\(0700 \ 5000 \ 500\)</t>
  </si>
  <si>
    <t>hello@renmoney.com</t>
  </si>
  <si>
    <t>https://www.linkedin.com/company/renmoney</t>
  </si>
  <si>
    <t>AI Transformation Analyst</t>
  </si>
  <si>
    <t>Anonymous Employer</t>
  </si>
  <si>
    <t>Power BI, Tableau, Python, R, AWS, AI</t>
  </si>
  <si>
    <t>Data Analysis, AI Adoption, Workflow Redesign, Automation, Data Governance, Reporting</t>
  </si>
  <si>
    <t>Banking &amp; Finance</t>
  </si>
  <si>
    <t>Unknown</t>
  </si>
  <si>
    <t>https://www.brightermonday.co.ke/listings/ai-transformation-analyst-45j248</t>
  </si>
  <si>
    <t>Google</t>
  </si>
  <si>
    <t>Graphic Designer &amp; Videographer</t>
  </si>
  <si>
    <t>Mirema School</t>
  </si>
  <si>
    <t>Adobe Creative Suite, Canva, Adobe Premiere Pro, Final Cut Pro</t>
  </si>
  <si>
    <t>Graphic Design, Video Editing, Creativity, Content Development, Communication</t>
  </si>
  <si>
    <t>Diploma</t>
  </si>
  <si>
    <t>\(+254 \ 716 \ 171 \ 698\)</t>
  </si>
  <si>
    <t>admin@miremaschool.ac.ke</t>
  </si>
  <si>
    <t>https://www.miremaschool.ac.ke/</t>
  </si>
  <si>
    <t>https://www.brightermonday.co.ke/listings/graphic-designer-videographer-z8v85x</t>
  </si>
  <si>
    <t>Brites Management Services Limited</t>
  </si>
  <si>
    <t>Git, APIs, Databases</t>
  </si>
  <si>
    <t>Software Development, Programming, Testing, Debugging, Database Management, Problem Solving</t>
  </si>
  <si>
    <t>Recruitment</t>
  </si>
  <si>
    <t>\(+254 \ 722 \ 965 \ 220\) or \(+254 \ 733 \ 869 \ 782\)</t>
  </si>
  <si>
    <t>mailto:recruitment@britesmanagement.com</t>
  </si>
  <si>
    <t>https://www.britesmanagement.com/</t>
  </si>
  <si>
    <t>https://www.brightermonday.co.ke/listings/software-developer-2kj0nd</t>
  </si>
  <si>
    <t>Oracle Apps Database Administrator (DBA)</t>
  </si>
  <si>
    <t>GB Corp</t>
  </si>
  <si>
    <t>Oracle Database, SQL, PostgreSQL, SQL Server, Linux, Oracle EBS, Hyperion</t>
  </si>
  <si>
    <t>Database Administration, Oracle EBS Administration, Backup &amp; Recovery, Troubleshooting, Linux Administration, SQL</t>
  </si>
  <si>
    <t>Information Technology</t>
  </si>
  <si>
    <t>\(+202 \ 3539 \ 1201\)</t>
  </si>
  <si>
    <t>info.gbcorp@gb-corporation.com</t>
  </si>
  <si>
    <t>Giza</t>
  </si>
  <si>
    <t>https://gb-corporation.com/</t>
  </si>
  <si>
    <t>https://wuzzuf.net/jobs/p/hio3zheeqpg8-oracle-apps-database-administrator-dba-gb-corp-giza-egypt</t>
  </si>
  <si>
    <t>Tenxix Beauty</t>
  </si>
  <si>
    <t>15/07/2026</t>
  </si>
  <si>
    <t>Flutter or React Native 
Strong knowledge of Java, Kotlin, Dart, JavaScript,</t>
  </si>
  <si>
    <t>Bachelor's degree in Computer Science, Software Engineering</t>
  </si>
  <si>
    <t>200,000-250,000</t>
  </si>
  <si>
    <t>Beauty and cosmetic</t>
  </si>
  <si>
    <t>1 (800) 123-4567</t>
  </si>
  <si>
    <r>
      <rPr>
        <color rgb="FF1155CC"/>
        <u/>
      </rPr>
      <t>hello@tenxix.com</t>
    </r>
  </si>
  <si>
    <t>chioma jonathan</t>
  </si>
  <si>
    <t>chioma  jonathan</t>
  </si>
  <si>
    <t>https://ng.indeed.com/q-tech-jobs.html?vjk=57a6e6f54fa6b3d7</t>
  </si>
  <si>
    <t>indeed</t>
  </si>
  <si>
    <t>Security Engineer</t>
  </si>
  <si>
    <t>Thriftwise</t>
  </si>
  <si>
    <r>
      <t xml:space="preserve">JavaScript TypeScript </t>
    </r>
    <r>
      <rPr>
        <rFont val="'Times New Roman',serif"/>
        <color rgb="FF1155CC"/>
        <sz val="12.0"/>
        <u/>
      </rPr>
      <t>ReactNode.js</t>
    </r>
    <r>
      <rPr>
        <rFont val="'Times New Roman',serif"/>
        <color rgb="FF334155"/>
        <sz val="12.0"/>
      </rPr>
      <t xml:space="preserve"> PostgreSQL</t>
    </r>
  </si>
  <si>
    <t xml:space="preserve">Strong communication skills
A track record of getting things done
Willingness to learn fast
</t>
  </si>
  <si>
    <t>notspecified</t>
  </si>
  <si>
    <t>IT &amp; Technology</t>
  </si>
  <si>
    <t>Lekki</t>
  </si>
  <si>
    <t>Security Engineer at ThriftWise — Lekki · JobBoard.ng</t>
  </si>
  <si>
    <t>thriftwise</t>
  </si>
  <si>
    <t>Mwanga Limited</t>
  </si>
  <si>
    <t>Power BI, Tableau, SQL, Excel/ Google sheet</t>
  </si>
  <si>
    <t xml:space="preserve">Strong attention to detail and reporting/documentation skills
Good communication and computer literacy skills
Experience with reporting or data analysis is an advantage
</t>
  </si>
  <si>
    <t>120,000-150,000</t>
  </si>
  <si>
    <t>Business Process Outsourcing</t>
  </si>
  <si>
    <t>234 810 607 9172</t>
  </si>
  <si>
    <t>lagos</t>
  </si>
  <si>
    <t>Junior Data Analyst at Mwanga Limited - July 8, 2026</t>
  </si>
  <si>
    <t>Mwanga limited</t>
  </si>
  <si>
    <t>Digital Marketing and Content Creator</t>
  </si>
  <si>
    <t>Kazipoint limited</t>
  </si>
  <si>
    <t>Canva, CapCut, Adobe Premiere Pro, Adobe Express, Photoshop, or similar content creation tools.</t>
  </si>
  <si>
    <t>Excellent photography, videography, and video editing skills</t>
  </si>
  <si>
    <t>diploma or degeee</t>
  </si>
  <si>
    <t>KES 20,000-25,00</t>
  </si>
  <si>
    <t>Outsourcing</t>
  </si>
  <si>
    <t>jobs@kazipoint.com</t>
  </si>
  <si>
    <t>https://www.facebook.com/kazipoint/</t>
  </si>
  <si>
    <t>https://www.brightermonday.co.ke/listings/digital-marketing-content-creator-5-positions-vd4dqm</t>
  </si>
  <si>
    <t>Junior Fraud Analyst</t>
  </si>
  <si>
    <t>M-KOPA</t>
  </si>
  <si>
    <t>Excel, SQL, Notion, and Looker.</t>
  </si>
  <si>
    <t xml:space="preserve"> communication skills, attention to detail and documentation skills, </t>
  </si>
  <si>
    <t>info@m-kopa.com</t>
  </si>
  <si>
    <t>M-KOPA Ghana Ltd, off Nii Martey Tsuru St, Accra</t>
  </si>
  <si>
    <t>https://techjobsinghana.com/tjig-jobs/junior-fraud-analyst/</t>
  </si>
  <si>
    <t>echjobsinghana</t>
  </si>
  <si>
    <t>BI Front-end developer</t>
  </si>
  <si>
    <t>Confidential Company</t>
  </si>
  <si>
    <t>Power BI, SSAS, Microsoft SQL Server, Tableau</t>
  </si>
  <si>
    <t xml:space="preserve">Business Intelligence, Analytical Mindset,
</t>
  </si>
  <si>
    <t>Bachelor's Degree, 1 to 3 years in a Data Visualization or BI Front-End role.</t>
  </si>
  <si>
    <t xml:space="preserve">Not specified </t>
  </si>
  <si>
    <t>New Cairo, 5th Settlement</t>
  </si>
  <si>
    <t xml:space="preserve">https://wuzzuf.net/jobs/p/kovyl8pakif0-bi-front-end-developer-cairo-egypt?o=4&amp;l=bp&amp;t=bj&amp;bpv=np&amp;a=Business-Intelligence-Jobs-in-Egypt
</t>
  </si>
  <si>
    <r>
      <rPr>
        <rFont val="Arial,sans-serif"/>
        <color rgb="FF1155CC"/>
        <sz val="12.0"/>
        <u/>
      </rPr>
      <t>wuzzuf.net</t>
    </r>
  </si>
  <si>
    <t>Computer Science &amp; Computer</t>
  </si>
  <si>
    <t xml:space="preserve">Confidential Company
</t>
  </si>
  <si>
    <t xml:space="preserve">Egypt </t>
  </si>
  <si>
    <t xml:space="preserve">SQL Queries. Database, Networks,(C++, C#, .NET, Java, or JavaScript). </t>
  </si>
  <si>
    <t xml:space="preserve">Information Systems and Software Engineering Majors.
Background in Development
</t>
  </si>
  <si>
    <t>Bachelor’s Degree in Computer Sciences,</t>
  </si>
  <si>
    <t>Tech</t>
  </si>
  <si>
    <t xml:space="preserve">Heliopolis, Cairo
</t>
  </si>
  <si>
    <t xml:space="preserve">https://wuzzuf.net/jobs/p/h6z57ivtqset-computer-science-computer-engineering-fresh-graduates-cairo-egypt?o=5&amp;l=bp&amp;t=bj&amp;bpv=np&amp;a=Business-Intelligence-Jobs-in-Egypt
</t>
  </si>
  <si>
    <t>wuzzuf.net</t>
  </si>
  <si>
    <t xml:space="preserve">Manual QA Engineer
</t>
  </si>
  <si>
    <t xml:space="preserve">Vertex Technologies
</t>
  </si>
  <si>
    <t xml:space="preserve">Java, C#, Python,API testing, SQL basics.
</t>
  </si>
  <si>
    <t>Prompt Engineering, Use of traffic analyzers, AI, programming /scripting skills.</t>
  </si>
  <si>
    <t>Telecom/Technology</t>
  </si>
  <si>
    <t>Cairo, Egypt</t>
  </si>
  <si>
    <t xml:space="preserve">https://wuzzuf.net/jobs/p/xu2aggrvnuqt-mid-level-manual-qa-engineer-vertex-technologies-cairo-egypt?l=cpp&amp;t=cpj
</t>
  </si>
  <si>
    <r>
      <rPr>
        <rFont val="Arial,sans-serif"/>
        <color rgb="FF1155CC"/>
        <sz val="12.0"/>
        <u/>
      </rPr>
      <t>wuzzuf.net</t>
    </r>
  </si>
  <si>
    <t xml:space="preserve">Application Support Engineer
</t>
  </si>
  <si>
    <t>Erada</t>
  </si>
  <si>
    <t>SQL, Python, Oracle, Java,</t>
  </si>
  <si>
    <t>1-3 years of experience in backend application support,</t>
  </si>
  <si>
    <t>Bachelor's Degree in computer science, Information Technology  or related field</t>
  </si>
  <si>
    <t>Maadi, Cairo</t>
  </si>
  <si>
    <r>
      <rPr>
        <rFont val="Arial,sans-serif"/>
        <color rgb="FF1155CC"/>
        <sz val="12.0"/>
        <u/>
      </rPr>
      <t>https://wuzzuf.net/jobs/p/stt5j2d9hkxj-application-support-engineer-erada-cairo-egypt?l=jp&amp;t=sij&amp;o=5</t>
    </r>
  </si>
  <si>
    <t>wuzzuf.com</t>
  </si>
  <si>
    <t xml:space="preserve">Fullstack .NET Developer
</t>
  </si>
  <si>
    <t xml:space="preserve">GoDigital
</t>
  </si>
  <si>
    <t xml:space="preserve">Hybrid
</t>
  </si>
  <si>
    <t>C#, .NET, ASP.NET Core, ASP.NET MVC, ASP.NET WebForms, ASP.NET Web API,
HTML5, CSS3, JavaScript, jQuery, Bootstrap</t>
  </si>
  <si>
    <t xml:space="preserve">Strong problem-solving skills, eagerness to learn, and ability to work in a team.
</t>
  </si>
  <si>
    <t xml:space="preserve">Mohandessin, Giza
</t>
  </si>
  <si>
    <t xml:space="preserve">https://wuzzuf.net/jobs/p/ubdocjcxnbgx-junior-fullstack-net-developer-godigital-giza-egypt?l=jp&amp;t=sij&amp;o=5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</si>
</sst>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mm-dd"/>
    <numFmt numFmtId="165" formatCode="mm/dd/yyyy"/>
    <numFmt numFmtId="166" formatCode="mm/yyyy"/>
    <numFmt numFmtId="167" formatCode="d mmm yyyy"/>
    <numFmt numFmtId="168" formatCode="mmm d, yyyy"/>
    <numFmt numFmtId="169" formatCode="m/d/yyyy"/>
    <numFmt numFmtId="170" formatCode="mmm, d, yyyy"/>
    <numFmt numFmtId="171" formatCode="mmmm, d,yyyy"/>
    <numFmt numFmtId="172" formatCode="mmmm, d, yyyy"/>
    <numFmt numFmtId="173" formatCode="m/d/yy"/>
  </numFmts>
  <fonts count="99">
    <font>
      <sz val="10.0"/>
      <color rgb="FF000000"/>
      <name val="Arial"/>
      <scheme val="minor"/>
    </font>
    <font>
      <b/>
      <sz val="16.0"/>
      <color theme="1"/>
      <name val="Arial"/>
      <scheme val="minor"/>
    </font>
    <font>
      <b/>
      <sz val="12.0"/>
      <color theme="1"/>
      <name val="Arial"/>
      <scheme val="minor"/>
    </font>
    <font>
      <b/>
      <color theme="1"/>
      <name val="Arial"/>
      <scheme val="minor"/>
    </font>
    <font>
      <b/>
      <sz val="11.0"/>
      <color theme="1"/>
      <name val="Arial"/>
      <scheme val="minor"/>
    </font>
    <font>
      <color theme="1"/>
      <name val="Arial"/>
      <scheme val="minor"/>
    </font>
    <font>
      <color theme="1"/>
      <name val="Arial"/>
    </font>
    <font>
      <sz val="11.0"/>
      <color rgb="FF000000"/>
      <name val="&quot;Aptos Narrow&quot;"/>
    </font>
    <font>
      <sz val="11.0"/>
      <color rgb="FF000000"/>
      <name val="Arial"/>
    </font>
    <font>
      <sz val="12.0"/>
      <color rgb="FF000000"/>
      <name val="'Times New Roman'"/>
    </font>
    <font>
      <u/>
      <sz val="12.0"/>
      <color rgb="FF000000"/>
      <name val="'Times New Roman'"/>
    </font>
    <font>
      <u/>
      <sz val="11.0"/>
      <color rgb="FF000000"/>
      <name val="&quot;Aptos Narrow&quot;"/>
    </font>
    <font>
      <u/>
      <sz val="11.0"/>
      <color rgb="FF0000FF"/>
      <name val="&quot;Calibri&quot;"/>
    </font>
    <font>
      <u/>
      <sz val="11.0"/>
      <color rgb="FF000000"/>
      <name val="Arial"/>
    </font>
    <font>
      <u/>
      <color rgb="FF0000FF"/>
    </font>
    <font>
      <sz val="11.0"/>
      <color rgb="FF222222"/>
      <name val="Arial"/>
    </font>
    <font>
      <b/>
      <sz val="11.0"/>
      <color rgb="FF222222"/>
      <name val="Arial"/>
    </font>
    <font>
      <sz val="11.0"/>
      <color rgb="FF1C293B"/>
      <name val="Arial"/>
    </font>
    <font>
      <color rgb="FF37516C"/>
      <name val="Arial"/>
    </font>
    <font>
      <sz val="11.0"/>
      <color rgb="FF212529"/>
      <name val="Arial"/>
    </font>
    <font>
      <sz val="12.0"/>
      <color rgb="FF212529"/>
      <name val="Arial"/>
    </font>
    <font>
      <u/>
      <color rgb="FF0000FF"/>
    </font>
    <font>
      <sz val="12.0"/>
      <color rgb="FF181818"/>
      <name val="Arial"/>
    </font>
    <font>
      <b/>
      <sz val="11.0"/>
      <color rgb="FF000000"/>
      <name val="Arial"/>
    </font>
    <font>
      <sz val="11.0"/>
      <color theme="1"/>
      <name val="Arial"/>
      <scheme val="minor"/>
    </font>
    <font>
      <sz val="12.0"/>
      <color rgb="FF1A1A24"/>
      <name val="'Noto Sans'"/>
    </font>
    <font>
      <color rgb="FF2E2E38"/>
      <name val="Arial"/>
    </font>
    <font>
      <sz val="12.0"/>
      <color rgb="FF000000"/>
      <name val="Arial"/>
    </font>
    <font>
      <sz val="11.0"/>
      <color rgb="FF9C0006"/>
      <name val="Calibri"/>
    </font>
    <font>
      <sz val="11.0"/>
      <color theme="1"/>
      <name val="Verdana"/>
    </font>
    <font>
      <sz val="12.0"/>
      <color theme="1"/>
      <name val="Verdana"/>
    </font>
    <font>
      <sz val="12.0"/>
      <color rgb="FF2E2E38"/>
      <name val="EYInterstate"/>
    </font>
    <font>
      <sz val="12.0"/>
      <color rgb="FF000000"/>
      <name val="'Open Sans'"/>
    </font>
    <font>
      <sz val="12.0"/>
      <color rgb="FF000000"/>
      <name val="Aptos"/>
    </font>
    <font>
      <u/>
      <sz val="11.0"/>
      <color rgb="FF0000FF"/>
    </font>
    <font>
      <b/>
      <sz val="14.0"/>
      <color rgb="FF1F0F26"/>
      <name val="'Times New Roman'"/>
    </font>
    <font>
      <sz val="14.0"/>
      <color rgb="FF000000"/>
      <name val="'Times New Roman'"/>
    </font>
    <font>
      <sz val="14.0"/>
      <color rgb="FF1F0F26"/>
      <name val="'Times New Roman'"/>
    </font>
    <font>
      <u/>
      <sz val="14.0"/>
      <color rgb="FF1F0F26"/>
      <name val="'Times New Roman'"/>
    </font>
    <font>
      <u/>
      <sz val="14.0"/>
      <color rgb="FF000000"/>
      <name val="'Times New Roman'"/>
    </font>
    <font>
      <u/>
      <color rgb="FF0000FF"/>
    </font>
    <font>
      <b/>
      <sz val="14.0"/>
      <color rgb="FF000000"/>
      <name val="'Times New Roman'"/>
    </font>
    <font>
      <u/>
      <color theme="1"/>
      <name val="Arial"/>
      <scheme val="minor"/>
    </font>
    <font>
      <u/>
      <color rgb="FF0000FF"/>
    </font>
    <font>
      <i/>
      <sz val="8.0"/>
      <color rgb="FF000000"/>
      <name val="Georgia"/>
    </font>
    <font>
      <u/>
      <sz val="12.0"/>
      <color rgb="FF000000"/>
      <name val="&quot;Times New Roman&quot;"/>
    </font>
    <font>
      <sz val="12.0"/>
      <color rgb="FF0E0D5D"/>
      <name val="Arial"/>
    </font>
    <font>
      <sz val="12.0"/>
      <color rgb="FF333333"/>
      <name val="Arial"/>
    </font>
    <font>
      <sz val="12.0"/>
      <color rgb="FF333333"/>
      <name val="&quot;Helvetica Neue&quot;"/>
    </font>
    <font>
      <sz val="12.0"/>
      <color rgb="FF333333"/>
      <name val="Roboto"/>
    </font>
    <font>
      <sz val="11.0"/>
      <color rgb="FF000000"/>
      <name val="Calibri"/>
    </font>
    <font>
      <u/>
      <sz val="11.0"/>
      <color rgb="FF000000"/>
      <name val="Calibri"/>
    </font>
    <font>
      <sz val="14.0"/>
      <color rgb="FF000000"/>
      <name val="&quot;Times New Roman&quot;"/>
    </font>
    <font>
      <u/>
      <sz val="11.0"/>
      <color rgb="FF0000FF"/>
      <name val="Calibri"/>
    </font>
    <font>
      <sz val="11.0"/>
      <color rgb="FF48413F"/>
      <name val="Arial"/>
    </font>
    <font>
      <sz val="12.0"/>
      <color rgb="FF222222"/>
      <name val="Arial"/>
    </font>
    <font>
      <sz val="9.0"/>
      <color theme="1"/>
      <name val="Arial"/>
      <scheme val="minor"/>
    </font>
    <font>
      <sz val="12.0"/>
      <color theme="1"/>
      <name val="Arial"/>
      <scheme val="minor"/>
    </font>
    <font>
      <sz val="11.0"/>
      <color rgb="FF000000"/>
      <name val="Poppins"/>
    </font>
    <font>
      <sz val="12.0"/>
      <color rgb="FF000000"/>
      <name val="Lato"/>
    </font>
    <font>
      <sz val="12.0"/>
      <color rgb="FF6C83A2"/>
      <name val="Lato"/>
    </font>
    <font>
      <sz val="11.0"/>
      <color rgb="FF2D2323"/>
      <name val="Sourcesanspro-Regular"/>
    </font>
    <font>
      <sz val="12.0"/>
      <color rgb="FF2D2323"/>
      <name val="Arial"/>
    </font>
    <font>
      <b/>
      <sz val="11.0"/>
      <color rgb="FF000000"/>
      <name val="Poppins"/>
    </font>
    <font>
      <color rgb="FF000000"/>
      <name val="Roboto"/>
    </font>
    <font>
      <sz val="12.0"/>
      <color rgb="FF334155"/>
      <name val="-apple-system"/>
    </font>
    <font>
      <sz val="12.0"/>
      <color rgb="FF334155"/>
      <name val="Arial"/>
    </font>
    <font>
      <sz val="11.0"/>
      <color rgb="FF666666"/>
      <name val="Poppins"/>
    </font>
    <font>
      <sz val="12.0"/>
      <color rgb="FF006634"/>
      <name val="Aptos"/>
    </font>
    <font>
      <color rgb="FF000000"/>
      <name val="Inherit !important"/>
    </font>
    <font>
      <sz val="9.0"/>
      <color rgb="FF5E5E5E"/>
      <name val="&quot;Google Sans Text&quot;"/>
    </font>
    <font>
      <sz val="11.0"/>
      <color rgb="FF2B353E"/>
      <name val="Arial"/>
    </font>
    <font>
      <sz val="11.0"/>
      <color rgb="FF2B353E"/>
      <name val="Proxima-nova"/>
    </font>
    <font>
      <sz val="13.0"/>
      <color rgb="FF626262"/>
      <name val="Poppins"/>
    </font>
    <font>
      <sz val="13.0"/>
      <color rgb="FF000000"/>
      <name val="Poppins"/>
    </font>
    <font>
      <sz val="12.0"/>
      <color rgb="FF6B7280"/>
      <name val="Inter"/>
    </font>
    <font>
      <u/>
      <sz val="12.0"/>
      <color rgb="FF6B7280"/>
      <name val="Inter"/>
    </font>
    <font>
      <sz val="12.0"/>
      <color rgb="FF111827"/>
      <name val="Inter"/>
    </font>
    <font>
      <sz val="14.0"/>
      <color rgb="FF6B7280"/>
      <name val="Inter"/>
    </font>
    <font>
      <sz val="14.0"/>
      <color rgb="FF000000"/>
      <name val="Inter"/>
    </font>
    <font>
      <color rgb="FF000000"/>
      <name val="Arial"/>
    </font>
    <font>
      <u/>
      <sz val="14.0"/>
      <color rgb="FF000000"/>
      <name val="&quot;Times New Roman&quot;"/>
    </font>
    <font>
      <sz val="14.0"/>
      <color rgb="FF000000"/>
      <name val="Arial"/>
      <scheme val="minor"/>
    </font>
    <font>
      <sz val="12.0"/>
      <color rgb="FF6B7280"/>
      <name val="Arial"/>
    </font>
    <font>
      <u/>
      <color rgb="FF0000FF"/>
    </font>
    <font>
      <u/>
      <sz val="11.0"/>
      <color rgb="FF000000"/>
      <name val="&quot;Calibri&quot;"/>
    </font>
    <font>
      <u/>
      <color rgb="FF0000FF"/>
    </font>
    <font>
      <sz val="12.0"/>
      <color theme="1"/>
      <name val="&quot;Google Sans&quot;"/>
    </font>
    <font>
      <sz val="12.0"/>
      <color rgb="FF595959"/>
      <name val="&quot;Noto Sans&quot;"/>
    </font>
    <font>
      <b/>
      <sz val="18.0"/>
      <color rgb="FF0F1729"/>
      <name val="'Times New Roman'"/>
    </font>
    <font>
      <u/>
      <sz val="12.0"/>
      <color rgb="FF334155"/>
      <name val="'Times New Roman'"/>
    </font>
    <font>
      <u/>
      <sz val="12.0"/>
      <color rgb="FF0000FF"/>
      <name val="Arial"/>
    </font>
    <font>
      <sz val="13.0"/>
      <color rgb="FF161C2D"/>
      <name val="Arial"/>
    </font>
    <font>
      <sz val="11.0"/>
      <color rgb="FF3C51B4"/>
      <name val="Roboto"/>
    </font>
    <font>
      <sz val="12.0"/>
      <color rgb="FF374151"/>
      <name val="Inter"/>
    </font>
    <font>
      <u/>
      <sz val="12.0"/>
      <color rgb="FF000000"/>
      <name val="'Times New Roman'"/>
    </font>
    <font>
      <b/>
      <sz val="12.0"/>
      <color rgb="FF000000"/>
      <name val="Arial"/>
    </font>
    <font>
      <sz val="12.0"/>
      <color rgb="FF6C7685"/>
      <name val="Nunito"/>
    </font>
    <font>
      <sz val="11.0"/>
      <color rgb="FF000000"/>
      <name val="Helveticaneueltpro"/>
    </font>
  </fonts>
  <fills count="13">
    <fill>
      <patternFill patternType="none"/>
    </fill>
    <fill>
      <patternFill patternType="lightGray"/>
    </fill>
    <fill>
      <patternFill patternType="solid">
        <fgColor rgb="FFF6B26B"/>
        <bgColor rgb="FFF6B26B"/>
      </patternFill>
    </fill>
    <fill>
      <patternFill patternType="solid">
        <fgColor rgb="FFB6D7A8"/>
        <bgColor rgb="FFB6D7A8"/>
      </patternFill>
    </fill>
    <fill>
      <patternFill patternType="solid">
        <fgColor rgb="FF274E13"/>
        <bgColor rgb="FF274E13"/>
      </patternFill>
    </fill>
    <fill>
      <patternFill patternType="solid">
        <fgColor theme="0"/>
        <bgColor theme="0"/>
      </patternFill>
    </fill>
    <fill>
      <patternFill patternType="solid">
        <fgColor theme="7"/>
        <bgColor theme="7"/>
      </patternFill>
    </fill>
    <fill>
      <patternFill patternType="solid">
        <fgColor rgb="FFFFFFFF"/>
        <bgColor rgb="FFFFFFFF"/>
      </patternFill>
    </fill>
    <fill>
      <patternFill patternType="solid">
        <fgColor rgb="FFFFC7CE"/>
        <bgColor rgb="FFFFC7CE"/>
      </patternFill>
    </fill>
    <fill>
      <patternFill patternType="solid">
        <fgColor rgb="FFF9CB9C"/>
        <bgColor rgb="FFF9CB9C"/>
      </patternFill>
    </fill>
    <fill>
      <patternFill patternType="solid">
        <fgColor rgb="FFF0F5FA"/>
        <bgColor rgb="FFF0F5FA"/>
      </patternFill>
    </fill>
    <fill>
      <patternFill patternType="solid">
        <fgColor rgb="FFEAEDEF"/>
        <bgColor rgb="FFEAEDEF"/>
      </patternFill>
    </fill>
    <fill>
      <patternFill patternType="solid">
        <fgColor rgb="FFF2FBF2"/>
        <bgColor rgb="FFF2FBF2"/>
      </patternFill>
    </fill>
  </fills>
  <borders count="1">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readingOrder="0"/>
    </xf>
    <xf borderId="0" fillId="4" fontId="1" numFmtId="0" xfId="0" applyAlignment="1" applyFill="1" applyFont="1">
      <alignment horizontal="center" readingOrder="0"/>
    </xf>
    <xf borderId="0" fillId="2" fontId="1" numFmtId="0" xfId="0" applyAlignment="1" applyFont="1">
      <alignment horizontal="left" readingOrder="0"/>
    </xf>
    <xf borderId="0" fillId="5" fontId="1" numFmtId="0" xfId="0" applyAlignment="1" applyFill="1" applyFont="1">
      <alignment horizontal="left" readingOrder="0"/>
    </xf>
    <xf borderId="0" fillId="0" fontId="2" numFmtId="0" xfId="0" applyAlignment="1" applyFont="1">
      <alignment horizontal="center" readingOrder="0"/>
    </xf>
    <xf borderId="0" fillId="5"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vertical="bottom"/>
    </xf>
    <xf borderId="0" fillId="6" fontId="2" numFmtId="0" xfId="0" applyAlignment="1" applyFill="1" applyFont="1">
      <alignment readingOrder="0"/>
    </xf>
    <xf borderId="0" fillId="5" fontId="5" numFmtId="0" xfId="0" applyFont="1"/>
    <xf borderId="0" fillId="0" fontId="7" numFmtId="0" xfId="0" applyAlignment="1" applyFont="1">
      <alignment readingOrder="0" shrinkToFit="0" vertical="bottom" wrapText="0"/>
    </xf>
    <xf borderId="0" fillId="0" fontId="8" numFmtId="164" xfId="0" applyAlignment="1" applyFont="1" applyNumberFormat="1">
      <alignment readingOrder="0" shrinkToFit="0" vertical="bottom" wrapText="0"/>
    </xf>
    <xf borderId="0" fillId="0" fontId="6" numFmtId="0" xfId="0" applyAlignment="1" applyFont="1">
      <alignment readingOrder="0" vertical="bottom"/>
    </xf>
    <xf borderId="0" fillId="0" fontId="9" numFmtId="0" xfId="0" applyAlignment="1" applyFont="1">
      <alignment readingOrder="0"/>
    </xf>
    <xf borderId="0" fillId="0" fontId="7" numFmtId="0" xfId="0" applyAlignment="1" applyFont="1">
      <alignment shrinkToFit="0" vertical="bottom" wrapText="0"/>
    </xf>
    <xf borderId="0" fillId="0" fontId="8" numFmtId="9" xfId="0" applyAlignment="1" applyFont="1" applyNumberFormat="1">
      <alignment readingOrder="0" shrinkToFit="0" vertical="bottom" wrapText="0"/>
    </xf>
    <xf borderId="0" fillId="0" fontId="10" numFmtId="0" xfId="0" applyAlignment="1" applyFont="1">
      <alignment readingOrder="0"/>
    </xf>
    <xf borderId="0" fillId="0" fontId="11" numFmtId="0" xfId="0" applyAlignment="1" applyFont="1">
      <alignment readingOrder="0" shrinkToFit="0" vertical="bottom" wrapText="0"/>
    </xf>
    <xf borderId="0" fillId="0" fontId="12" numFmtId="0" xfId="0" applyAlignment="1" applyFont="1">
      <alignment readingOrder="0"/>
    </xf>
    <xf borderId="0" fillId="0" fontId="9" numFmtId="9" xfId="0" applyAlignment="1" applyFont="1" applyNumberFormat="1">
      <alignment readingOrder="0"/>
    </xf>
    <xf borderId="0" fillId="0" fontId="8" numFmtId="0" xfId="0" applyAlignment="1" applyFont="1">
      <alignment readingOrder="0" shrinkToFit="0" vertical="bottom" wrapText="0"/>
    </xf>
    <xf borderId="0" fillId="0" fontId="13" numFmtId="0" xfId="0" applyAlignment="1" applyFont="1">
      <alignment readingOrder="0" shrinkToFit="0" vertical="bottom" wrapText="0"/>
    </xf>
    <xf borderId="0" fillId="0" fontId="14" numFmtId="0" xfId="0" applyAlignment="1" applyFont="1">
      <alignment readingOrder="0"/>
    </xf>
    <xf borderId="0" fillId="0" fontId="15" numFmtId="0" xfId="0" applyAlignment="1" applyFont="1">
      <alignment readingOrder="0"/>
    </xf>
    <xf borderId="0" fillId="0" fontId="9" numFmtId="164" xfId="0" applyAlignment="1" applyFont="1" applyNumberFormat="1">
      <alignment readingOrder="0"/>
    </xf>
    <xf borderId="0" fillId="0" fontId="15" numFmtId="4" xfId="0" applyAlignment="1" applyFont="1" applyNumberFormat="1">
      <alignment readingOrder="0"/>
    </xf>
    <xf borderId="0" fillId="0" fontId="16" numFmtId="9" xfId="0" applyAlignment="1" applyFont="1" applyNumberFormat="1">
      <alignment readingOrder="0"/>
    </xf>
    <xf borderId="0" fillId="0" fontId="17" numFmtId="0" xfId="0" applyAlignment="1" applyFont="1">
      <alignment readingOrder="0"/>
    </xf>
    <xf borderId="0" fillId="0" fontId="18" numFmtId="165" xfId="0" applyAlignment="1" applyFont="1" applyNumberFormat="1">
      <alignment readingOrder="0"/>
    </xf>
    <xf borderId="0" fillId="0" fontId="5" numFmtId="9" xfId="0" applyAlignment="1" applyFont="1" applyNumberFormat="1">
      <alignment readingOrder="0"/>
    </xf>
    <xf borderId="0" fillId="7" fontId="19" numFmtId="0" xfId="0" applyAlignment="1" applyFill="1" applyFont="1">
      <alignment readingOrder="0"/>
    </xf>
    <xf borderId="0" fillId="0" fontId="20" numFmtId="0" xfId="0" applyAlignment="1" applyFont="1">
      <alignment readingOrder="0"/>
    </xf>
    <xf borderId="0" fillId="0" fontId="5" numFmtId="164" xfId="0" applyAlignment="1" applyFont="1" applyNumberFormat="1">
      <alignment readingOrder="0"/>
    </xf>
    <xf borderId="0" fillId="0" fontId="21" numFmtId="0" xfId="0" applyAlignment="1" applyFont="1">
      <alignment readingOrder="0"/>
    </xf>
    <xf borderId="0" fillId="0" fontId="8" numFmtId="9" xfId="0" applyAlignment="1" applyFont="1" applyNumberFormat="1">
      <alignment readingOrder="0"/>
    </xf>
    <xf borderId="0" fillId="0" fontId="5" numFmtId="0" xfId="0" applyAlignment="1" applyFont="1">
      <alignment readingOrder="0"/>
    </xf>
    <xf borderId="0" fillId="0" fontId="22" numFmtId="0" xfId="0" applyAlignment="1" applyFont="1">
      <alignment readingOrder="0"/>
    </xf>
    <xf borderId="0" fillId="0" fontId="5" numFmtId="166" xfId="0" applyAlignment="1" applyFont="1" applyNumberFormat="1">
      <alignment readingOrder="0"/>
    </xf>
    <xf borderId="0" fillId="0" fontId="23" numFmtId="0" xfId="0" applyAlignment="1" applyFont="1">
      <alignment readingOrder="0"/>
    </xf>
    <xf borderId="0" fillId="0" fontId="8" numFmtId="0" xfId="0" applyAlignment="1" applyFont="1">
      <alignment readingOrder="0"/>
    </xf>
    <xf borderId="0" fillId="0" fontId="23" numFmtId="9" xfId="0" applyAlignment="1" applyFont="1" applyNumberFormat="1">
      <alignment readingOrder="0"/>
    </xf>
    <xf borderId="0" fillId="0" fontId="23" numFmtId="167" xfId="0" applyAlignment="1" applyFont="1" applyNumberFormat="1">
      <alignment readingOrder="0"/>
    </xf>
    <xf borderId="0" fillId="0" fontId="24" numFmtId="0" xfId="0" applyAlignment="1" applyFont="1">
      <alignment readingOrder="0"/>
    </xf>
    <xf borderId="0" fillId="0" fontId="25" numFmtId="168" xfId="0" applyAlignment="1" applyFont="1" applyNumberFormat="1">
      <alignment readingOrder="0"/>
    </xf>
    <xf borderId="0" fillId="7" fontId="26" numFmtId="0" xfId="0" applyAlignment="1" applyFont="1">
      <alignment readingOrder="0" shrinkToFit="0" wrapText="1"/>
    </xf>
    <xf borderId="0" fillId="0" fontId="27" numFmtId="9" xfId="0" applyAlignment="1" applyFont="1" applyNumberFormat="1">
      <alignment readingOrder="0"/>
    </xf>
    <xf borderId="0" fillId="8" fontId="28" numFmtId="0" xfId="0" applyAlignment="1" applyFill="1" applyFont="1">
      <alignment readingOrder="0" shrinkToFit="0" vertical="bottom" wrapText="0"/>
    </xf>
    <xf borderId="0" fillId="0" fontId="5" numFmtId="168" xfId="0" applyAlignment="1" applyFont="1" applyNumberFormat="1">
      <alignment readingOrder="0"/>
    </xf>
    <xf borderId="0" fillId="0" fontId="23" numFmtId="0" xfId="0" applyFont="1"/>
    <xf borderId="0" fillId="0" fontId="29" numFmtId="0" xfId="0" applyAlignment="1" applyFont="1">
      <alignment readingOrder="0"/>
    </xf>
    <xf borderId="0" fillId="0" fontId="5" numFmtId="169" xfId="0" applyAlignment="1" applyFont="1" applyNumberFormat="1">
      <alignment readingOrder="0"/>
    </xf>
    <xf borderId="0" fillId="0" fontId="30" numFmtId="0" xfId="0" applyAlignment="1" applyFont="1">
      <alignment readingOrder="0"/>
    </xf>
    <xf borderId="0" fillId="7" fontId="31" numFmtId="0" xfId="0" applyAlignment="1" applyFont="1">
      <alignment readingOrder="0" shrinkToFit="0" wrapText="1"/>
    </xf>
    <xf borderId="0" fillId="0" fontId="32" numFmtId="9" xfId="0" applyAlignment="1" applyFont="1" applyNumberFormat="1">
      <alignment readingOrder="0"/>
    </xf>
    <xf borderId="0" fillId="0" fontId="33" numFmtId="0" xfId="0" applyAlignment="1" applyFont="1">
      <alignment readingOrder="0"/>
    </xf>
    <xf borderId="0" fillId="0" fontId="34" numFmtId="0" xfId="0" applyAlignment="1" applyFont="1">
      <alignment readingOrder="0"/>
    </xf>
    <xf borderId="0" fillId="0" fontId="35" numFmtId="0" xfId="0" applyAlignment="1" applyFont="1">
      <alignment readingOrder="0"/>
    </xf>
    <xf borderId="0" fillId="0" fontId="36" numFmtId="0" xfId="0" applyAlignment="1" applyFont="1">
      <alignment readingOrder="0"/>
    </xf>
    <xf borderId="0" fillId="0" fontId="37" numFmtId="0" xfId="0" applyAlignment="1" applyFont="1">
      <alignment readingOrder="0"/>
    </xf>
    <xf borderId="0" fillId="7" fontId="37" numFmtId="0" xfId="0" applyAlignment="1" applyFont="1">
      <alignment readingOrder="0"/>
    </xf>
    <xf borderId="0" fillId="0" fontId="24" numFmtId="9" xfId="0" applyAlignment="1" applyFont="1" applyNumberFormat="1">
      <alignment readingOrder="0"/>
    </xf>
    <xf borderId="0" fillId="0" fontId="38" numFmtId="0" xfId="0" applyAlignment="1" applyFont="1">
      <alignment readingOrder="0"/>
    </xf>
    <xf borderId="0" fillId="0" fontId="5" numFmtId="170" xfId="0" applyAlignment="1" applyFont="1" applyNumberFormat="1">
      <alignment readingOrder="0"/>
    </xf>
    <xf borderId="0" fillId="7" fontId="37" numFmtId="0" xfId="0" applyFont="1"/>
    <xf borderId="0" fillId="0" fontId="39" numFmtId="0" xfId="0" applyAlignment="1" applyFont="1">
      <alignment readingOrder="0"/>
    </xf>
    <xf borderId="0" fillId="7" fontId="24" numFmtId="0" xfId="0" applyAlignment="1" applyFont="1">
      <alignment readingOrder="0"/>
    </xf>
    <xf borderId="0" fillId="7" fontId="40" numFmtId="0" xfId="0" applyAlignment="1" applyFont="1">
      <alignment readingOrder="0"/>
    </xf>
    <xf borderId="0" fillId="0" fontId="5" numFmtId="171" xfId="0" applyAlignment="1" applyFont="1" applyNumberFormat="1">
      <alignment readingOrder="0"/>
    </xf>
    <xf borderId="0" fillId="0" fontId="41" numFmtId="0" xfId="0" applyAlignment="1" applyFont="1">
      <alignment readingOrder="0"/>
    </xf>
    <xf borderId="0" fillId="0" fontId="5" numFmtId="172" xfId="0" applyAlignment="1" applyFont="1" applyNumberFormat="1">
      <alignment readingOrder="0"/>
    </xf>
    <xf borderId="0" fillId="7" fontId="5" numFmtId="0" xfId="0" applyFont="1"/>
    <xf borderId="0" fillId="0" fontId="36" numFmtId="165" xfId="0" applyAlignment="1" applyFont="1" applyNumberFormat="1">
      <alignment readingOrder="0"/>
    </xf>
    <xf borderId="0" fillId="0" fontId="42" numFmtId="0" xfId="0" applyAlignment="1" applyFont="1">
      <alignment readingOrder="0"/>
    </xf>
    <xf borderId="0" fillId="7" fontId="5" numFmtId="0" xfId="0" applyAlignment="1" applyFont="1">
      <alignment readingOrder="0"/>
    </xf>
    <xf borderId="0" fillId="7" fontId="43" numFmtId="0" xfId="0" applyAlignment="1" applyFont="1">
      <alignment readingOrder="0"/>
    </xf>
    <xf borderId="0" fillId="0" fontId="5" numFmtId="165" xfId="0" applyAlignment="1" applyFont="1" applyNumberFormat="1">
      <alignment readingOrder="0"/>
    </xf>
    <xf borderId="0" fillId="0" fontId="9" numFmtId="173" xfId="0" applyAlignment="1" applyFont="1" applyNumberFormat="1">
      <alignment readingOrder="0"/>
    </xf>
    <xf borderId="0" fillId="7" fontId="44" numFmtId="165" xfId="0" applyAlignment="1" applyFont="1" applyNumberFormat="1">
      <alignment horizontal="left" readingOrder="0"/>
    </xf>
    <xf borderId="0" fillId="0" fontId="45" numFmtId="0" xfId="0" applyAlignment="1" applyFont="1">
      <alignment readingOrder="0"/>
    </xf>
    <xf borderId="0" fillId="9" fontId="5" numFmtId="0" xfId="0" applyAlignment="1" applyFill="1" applyFont="1">
      <alignment readingOrder="0"/>
    </xf>
    <xf borderId="0" fillId="0" fontId="46" numFmtId="0" xfId="0" applyAlignment="1" applyFont="1">
      <alignment readingOrder="0"/>
    </xf>
    <xf borderId="0" fillId="7" fontId="20" numFmtId="0" xfId="0" applyAlignment="1" applyFont="1">
      <alignment readingOrder="0"/>
    </xf>
    <xf borderId="0" fillId="0" fontId="47" numFmtId="0" xfId="0" applyAlignment="1" applyFont="1">
      <alignment readingOrder="0"/>
    </xf>
    <xf borderId="0" fillId="7" fontId="48" numFmtId="0" xfId="0" applyAlignment="1" applyFont="1">
      <alignment readingOrder="0"/>
    </xf>
    <xf borderId="0" fillId="7" fontId="49" numFmtId="0" xfId="0" applyAlignment="1" applyFont="1">
      <alignment readingOrder="0"/>
    </xf>
    <xf borderId="0" fillId="0" fontId="5" numFmtId="3" xfId="0" applyAlignment="1" applyFont="1" applyNumberFormat="1">
      <alignment readingOrder="0"/>
    </xf>
    <xf borderId="0" fillId="0" fontId="8" numFmtId="165" xfId="0" applyAlignment="1" applyFont="1" applyNumberFormat="1">
      <alignment readingOrder="0" shrinkToFit="0" vertical="bottom" wrapText="0"/>
    </xf>
    <xf borderId="0" fillId="0" fontId="7" numFmtId="0" xfId="0" applyAlignment="1" applyFont="1">
      <alignment shrinkToFit="0" vertical="bottom" wrapText="0"/>
    </xf>
    <xf borderId="0" fillId="0" fontId="50" numFmtId="0" xfId="0" applyAlignment="1" applyFont="1">
      <alignment readingOrder="0" shrinkToFit="0" vertical="bottom" wrapText="0"/>
    </xf>
    <xf borderId="0" fillId="0" fontId="50" numFmtId="165" xfId="0" applyAlignment="1" applyFont="1" applyNumberFormat="1">
      <alignment readingOrder="0" shrinkToFit="0" vertical="bottom" wrapText="0"/>
    </xf>
    <xf borderId="0" fillId="0" fontId="50" numFmtId="0" xfId="0" applyAlignment="1" applyFont="1">
      <alignment shrinkToFit="0" vertical="bottom" wrapText="0"/>
    </xf>
    <xf borderId="0" fillId="0" fontId="50" numFmtId="9" xfId="0" applyAlignment="1" applyFont="1" applyNumberFormat="1">
      <alignment readingOrder="0" shrinkToFit="0" vertical="bottom" wrapText="0"/>
    </xf>
    <xf borderId="0" fillId="0" fontId="50" numFmtId="0" xfId="0" applyAlignment="1" applyFont="1">
      <alignment shrinkToFit="0" vertical="bottom" wrapText="0"/>
    </xf>
    <xf borderId="0" fillId="0" fontId="51" numFmtId="0" xfId="0" applyAlignment="1" applyFont="1">
      <alignment readingOrder="0" shrinkToFit="0" vertical="bottom" wrapText="0"/>
    </xf>
    <xf borderId="0" fillId="7" fontId="52" numFmtId="0" xfId="0" applyAlignment="1" applyFont="1">
      <alignment readingOrder="0"/>
    </xf>
    <xf borderId="0" fillId="0" fontId="53" numFmtId="0" xfId="0" applyAlignment="1" applyFont="1">
      <alignment readingOrder="0" shrinkToFit="0" vertical="bottom" wrapText="0"/>
    </xf>
    <xf borderId="0" fillId="0" fontId="54" numFmtId="0" xfId="0" applyAlignment="1" applyFont="1">
      <alignment readingOrder="0"/>
    </xf>
    <xf borderId="0" fillId="0" fontId="55" numFmtId="0" xfId="0" applyAlignment="1" applyFont="1">
      <alignment readingOrder="0"/>
    </xf>
    <xf borderId="0" fillId="0" fontId="56" numFmtId="0" xfId="0" applyAlignment="1" applyFont="1">
      <alignment readingOrder="0"/>
    </xf>
    <xf borderId="0" fillId="0" fontId="24" numFmtId="0" xfId="0" applyAlignment="1" applyFont="1">
      <alignment readingOrder="0"/>
    </xf>
    <xf borderId="0" fillId="0" fontId="57" numFmtId="0" xfId="0" applyAlignment="1" applyFont="1">
      <alignment readingOrder="0"/>
    </xf>
    <xf borderId="0" fillId="0" fontId="3" numFmtId="0" xfId="0" applyAlignment="1" applyFont="1">
      <alignment readingOrder="0"/>
    </xf>
    <xf borderId="0" fillId="0" fontId="50" numFmtId="164" xfId="0" applyAlignment="1" applyFont="1" applyNumberFormat="1">
      <alignment readingOrder="0" shrinkToFit="0" vertical="bottom" wrapText="0"/>
    </xf>
    <xf borderId="0" fillId="0" fontId="50" numFmtId="9" xfId="0" applyAlignment="1" applyFont="1" applyNumberFormat="1">
      <alignment horizontal="right" readingOrder="0" shrinkToFit="0" vertical="bottom" wrapText="0"/>
    </xf>
    <xf borderId="0" fillId="0" fontId="50" numFmtId="0" xfId="0" applyAlignment="1" applyFont="1">
      <alignment horizontal="right" readingOrder="0" shrinkToFit="0" vertical="bottom" wrapText="0"/>
    </xf>
    <xf borderId="0" fillId="2" fontId="50" numFmtId="0" xfId="0" applyAlignment="1" applyFont="1">
      <alignment readingOrder="0" shrinkToFit="0" vertical="bottom" wrapText="0"/>
    </xf>
    <xf borderId="0" fillId="7" fontId="58" numFmtId="0" xfId="0" applyAlignment="1" applyFont="1">
      <alignment readingOrder="0"/>
    </xf>
    <xf borderId="0" fillId="5" fontId="59" numFmtId="0" xfId="0" applyAlignment="1" applyFont="1">
      <alignment readingOrder="0"/>
    </xf>
    <xf borderId="0" fillId="0" fontId="60" numFmtId="0" xfId="0" applyAlignment="1" applyFont="1">
      <alignment readingOrder="0"/>
    </xf>
    <xf borderId="0" fillId="7" fontId="61" numFmtId="0" xfId="0" applyAlignment="1" applyFont="1">
      <alignment horizontal="left" readingOrder="0"/>
    </xf>
    <xf borderId="0" fillId="7" fontId="62" numFmtId="0" xfId="0" applyAlignment="1" applyFont="1">
      <alignment horizontal="center" readingOrder="0"/>
    </xf>
    <xf borderId="0" fillId="7" fontId="63" numFmtId="0" xfId="0" applyAlignment="1" applyFont="1">
      <alignment readingOrder="0"/>
    </xf>
    <xf borderId="0" fillId="7" fontId="64" numFmtId="0" xfId="0" applyAlignment="1" applyFont="1">
      <alignment readingOrder="0"/>
    </xf>
    <xf borderId="0" fillId="10" fontId="65" numFmtId="0" xfId="0" applyAlignment="1" applyFill="1" applyFont="1">
      <alignment readingOrder="0"/>
    </xf>
    <xf borderId="0" fillId="5" fontId="66" numFmtId="0" xfId="0" applyAlignment="1" applyFont="1">
      <alignment readingOrder="0"/>
    </xf>
    <xf borderId="0" fillId="10" fontId="66" numFmtId="0" xfId="0" applyAlignment="1" applyFont="1">
      <alignment readingOrder="0"/>
    </xf>
    <xf borderId="0" fillId="7" fontId="67" numFmtId="0" xfId="0" applyAlignment="1" applyFont="1">
      <alignment readingOrder="0"/>
    </xf>
    <xf borderId="0" fillId="7" fontId="68" numFmtId="0" xfId="0" applyAlignment="1" applyFont="1">
      <alignment readingOrder="0"/>
    </xf>
    <xf borderId="0" fillId="7" fontId="69" numFmtId="0" xfId="0" applyAlignment="1" applyFont="1">
      <alignment readingOrder="0"/>
    </xf>
    <xf borderId="0" fillId="7" fontId="70" numFmtId="0" xfId="0" applyAlignment="1" applyFont="1">
      <alignment readingOrder="0"/>
    </xf>
    <xf borderId="0" fillId="7" fontId="71" numFmtId="0" xfId="0" applyAlignment="1" applyFont="1">
      <alignment horizontal="left" readingOrder="0"/>
    </xf>
    <xf borderId="0" fillId="7" fontId="72" numFmtId="0" xfId="0" applyAlignment="1" applyFont="1">
      <alignment horizontal="left" readingOrder="0"/>
    </xf>
    <xf borderId="0" fillId="7" fontId="72" numFmtId="0" xfId="0" applyAlignment="1" applyFont="1">
      <alignment horizontal="left" readingOrder="0" shrinkToFit="0" wrapText="0"/>
    </xf>
    <xf borderId="0" fillId="11" fontId="73" numFmtId="0" xfId="0" applyAlignment="1" applyFill="1" applyFont="1">
      <alignment readingOrder="0"/>
    </xf>
    <xf borderId="0" fillId="5" fontId="74" numFmtId="0" xfId="0" applyAlignment="1" applyFont="1">
      <alignment readingOrder="0"/>
    </xf>
    <xf borderId="0" fillId="7" fontId="75" numFmtId="0" xfId="0" applyAlignment="1" applyFont="1">
      <alignment readingOrder="0"/>
    </xf>
    <xf borderId="0" fillId="7" fontId="76" numFmtId="0" xfId="0" applyAlignment="1" applyFont="1">
      <alignment readingOrder="0"/>
    </xf>
    <xf borderId="0" fillId="7" fontId="77" numFmtId="0" xfId="0" applyAlignment="1" applyFont="1">
      <alignment readingOrder="0"/>
    </xf>
    <xf borderId="0" fillId="0" fontId="78" numFmtId="0" xfId="0" applyAlignment="1" applyFont="1">
      <alignment readingOrder="0"/>
    </xf>
    <xf borderId="0" fillId="0" fontId="78" numFmtId="0" xfId="0" applyAlignment="1" applyFont="1">
      <alignment readingOrder="0"/>
    </xf>
    <xf borderId="0" fillId="0" fontId="79" numFmtId="0" xfId="0" applyAlignment="1" applyFont="1">
      <alignment readingOrder="0"/>
    </xf>
    <xf borderId="0" fillId="0" fontId="50" numFmtId="9" xfId="0" applyAlignment="1" applyFont="1" applyNumberFormat="1">
      <alignment shrinkToFit="0" vertical="bottom" wrapText="0"/>
    </xf>
    <xf borderId="0" fillId="0" fontId="80" numFmtId="0" xfId="0" applyAlignment="1" applyFont="1">
      <alignment readingOrder="0" shrinkToFit="0" vertical="bottom" wrapText="0"/>
    </xf>
    <xf borderId="0" fillId="0" fontId="50" numFmtId="0" xfId="0" applyAlignment="1" applyFont="1">
      <alignment horizontal="center" readingOrder="0" shrinkToFit="0" vertical="bottom" wrapText="0"/>
    </xf>
    <xf borderId="0" fillId="0" fontId="50" numFmtId="11" xfId="0" applyAlignment="1" applyFont="1" applyNumberFormat="1">
      <alignment horizontal="right" readingOrder="0" shrinkToFit="0" vertical="bottom" wrapText="0"/>
    </xf>
    <xf borderId="0" fillId="7" fontId="81" numFmtId="0" xfId="0" applyAlignment="1" applyFont="1">
      <alignment readingOrder="0"/>
    </xf>
    <xf borderId="0" fillId="0" fontId="82" numFmtId="0" xfId="0" applyAlignment="1" applyFont="1">
      <alignment readingOrder="0"/>
    </xf>
    <xf borderId="0" fillId="0" fontId="56" numFmtId="0" xfId="0" applyAlignment="1" applyFont="1">
      <alignment readingOrder="0"/>
    </xf>
    <xf borderId="0" fillId="7" fontId="83" numFmtId="0" xfId="0" applyAlignment="1" applyFont="1">
      <alignment readingOrder="0"/>
    </xf>
    <xf borderId="0" fillId="0" fontId="84" numFmtId="0" xfId="0" applyAlignment="1" applyFont="1">
      <alignment readingOrder="0" shrinkToFit="0" wrapText="1"/>
    </xf>
    <xf borderId="0" fillId="0" fontId="85" numFmtId="0" xfId="0" applyAlignment="1" applyFont="1">
      <alignment readingOrder="0"/>
    </xf>
    <xf borderId="0" fillId="7" fontId="83" numFmtId="0" xfId="0" applyAlignment="1" applyFont="1">
      <alignment readingOrder="0" shrinkToFit="0" wrapText="1"/>
    </xf>
    <xf borderId="0" fillId="7" fontId="86" numFmtId="0" xfId="0" applyAlignment="1" applyFont="1">
      <alignment readingOrder="0" shrinkToFit="0" wrapText="1"/>
    </xf>
    <xf borderId="0" fillId="0" fontId="87" numFmtId="0" xfId="0" applyAlignment="1" applyFont="1">
      <alignment readingOrder="0"/>
    </xf>
    <xf borderId="0" fillId="7" fontId="88" numFmtId="0" xfId="0" applyAlignment="1" applyFont="1">
      <alignment readingOrder="0"/>
    </xf>
    <xf borderId="0" fillId="7" fontId="88" numFmtId="0" xfId="0" applyAlignment="1" applyFont="1">
      <alignment readingOrder="0"/>
    </xf>
    <xf borderId="0" fillId="0" fontId="89" numFmtId="0" xfId="0" applyAlignment="1" applyFont="1">
      <alignment readingOrder="0"/>
    </xf>
    <xf borderId="0" fillId="7" fontId="90" numFmtId="0" xfId="0" applyAlignment="1" applyFont="1">
      <alignment readingOrder="0"/>
    </xf>
    <xf borderId="0" fillId="0" fontId="91" numFmtId="0" xfId="0" applyAlignment="1" applyFont="1">
      <alignment readingOrder="0"/>
    </xf>
    <xf borderId="0" fillId="0" fontId="92" numFmtId="0" xfId="0" applyAlignment="1" applyFont="1">
      <alignment readingOrder="0"/>
    </xf>
    <xf borderId="0" fillId="7" fontId="93" numFmtId="0" xfId="0" applyAlignment="1" applyFont="1">
      <alignment readingOrder="0"/>
    </xf>
    <xf borderId="0" fillId="7" fontId="94" numFmtId="0" xfId="0" applyAlignment="1" applyFont="1">
      <alignment readingOrder="0"/>
    </xf>
    <xf borderId="0" fillId="0" fontId="95" numFmtId="0" xfId="0" applyAlignment="1" applyFont="1">
      <alignment readingOrder="0"/>
    </xf>
    <xf borderId="0" fillId="0" fontId="96" numFmtId="0" xfId="0" applyAlignment="1" applyFont="1">
      <alignment readingOrder="0"/>
    </xf>
    <xf borderId="0" fillId="0" fontId="97" numFmtId="0" xfId="0" applyAlignment="1" applyFont="1">
      <alignment readingOrder="0"/>
    </xf>
    <xf borderId="0" fillId="0" fontId="5" numFmtId="0" xfId="0" applyFont="1"/>
    <xf borderId="0" fillId="12" fontId="98"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brightermonday.co.ke/listings/data-entry-z82g7d" TargetMode="External"/><Relationship Id="rId190" Type="http://schemas.openxmlformats.org/officeDocument/2006/relationships/hyperlink" Target="https://www.jobzilla.ng/jobs/data-analyst-at-iknorbert-communications-limited-291293" TargetMode="External"/><Relationship Id="rId42" Type="http://schemas.openxmlformats.org/officeDocument/2006/relationships/hyperlink" Target="mailto:hello@soillight.com" TargetMode="External"/><Relationship Id="rId41" Type="http://schemas.openxmlformats.org/officeDocument/2006/relationships/hyperlink" Target="http://b.sc/" TargetMode="External"/><Relationship Id="rId44" Type="http://schemas.openxmlformats.org/officeDocument/2006/relationships/hyperlink" Target="https://ng.indeed.com/cmp/Soillight-Ltd./jobs?jk=abf32e9cbfcf4140&amp;start=0" TargetMode="External"/><Relationship Id="rId194" Type="http://schemas.openxmlformats.org/officeDocument/2006/relationships/hyperlink" Target="https://www.careerjet.com.ng/jobad/nge9b546857b2f69d3abc57a46a5a80ef7" TargetMode="External"/><Relationship Id="rId43" Type="http://schemas.openxmlformats.org/officeDocument/2006/relationships/hyperlink" Target="http://soillight.com/" TargetMode="External"/><Relationship Id="rId193" Type="http://schemas.openxmlformats.org/officeDocument/2006/relationships/hyperlink" Target="https://www.careerjet.com.ng/jobad/nga877a67867a127a1e93b555c9eeaf6e9" TargetMode="External"/><Relationship Id="rId46" Type="http://schemas.openxmlformats.org/officeDocument/2006/relationships/hyperlink" Target="https://api.jobberman.com/listings/data-analyst-qzzx07" TargetMode="External"/><Relationship Id="rId192" Type="http://schemas.openxmlformats.org/officeDocument/2006/relationships/hyperlink" Target="https://www.pnet.co.za/jobs--Software-Developer-II-Contract-Sandton-South-Africa-The-Focus-Group--4224666-inline.html?rltr=4_4_25_seorl_s_0_0_0_0_0_0" TargetMode="External"/><Relationship Id="rId45" Type="http://schemas.openxmlformats.org/officeDocument/2006/relationships/hyperlink" Target="https://ndl-ng.com/" TargetMode="External"/><Relationship Id="rId191" Type="http://schemas.openxmlformats.org/officeDocument/2006/relationships/hyperlink" Target="https://www.jobzilla.ng/jobs/laravel-developer-at-goodnews-consulting-278904" TargetMode="External"/><Relationship Id="rId48" Type="http://schemas.openxmlformats.org/officeDocument/2006/relationships/hyperlink" Target="https://careers.ey.com/ey/job/Johannesburg-Digital-Risk-Data-Analytics-IT-Audit-Associate-GP-2146/1409887433/" TargetMode="External"/><Relationship Id="rId187" Type="http://schemas.openxmlformats.org/officeDocument/2006/relationships/hyperlink" Target="https://www.jobzilla.ng/jobs/graphic-designer-at-compovine-technology-nigeria-limited-288890" TargetMode="External"/><Relationship Id="rId47" Type="http://schemas.openxmlformats.org/officeDocument/2006/relationships/hyperlink" Target="https://www.linkedin.com/company/ernstandyoung/" TargetMode="External"/><Relationship Id="rId186" Type="http://schemas.openxmlformats.org/officeDocument/2006/relationships/hyperlink" Target="https://www.brightermonday.co.ke/listings/social-media-manager-content-creator-internship-d9rmk8" TargetMode="External"/><Relationship Id="rId185" Type="http://schemas.openxmlformats.org/officeDocument/2006/relationships/hyperlink" Target="https://www.fuzu.com/kenya/job/nairobi?filters%5btown_id%5d%5b%5d=125982&amp;filters%5bterm%5d=content%20creator&amp;filters%5bcountry_id%5d=1&amp;filters%5bjob_id%5d=927420&amp;page=1" TargetMode="External"/><Relationship Id="rId49" Type="http://schemas.openxmlformats.org/officeDocument/2006/relationships/hyperlink" Target="https://www.linkedin.com/company/gen128-solutions/" TargetMode="External"/><Relationship Id="rId184" Type="http://schemas.openxmlformats.org/officeDocument/2006/relationships/hyperlink" Target="https://www.fuzu.com/job/basic?filters%5bfeed%5d=recommended&amp;filters%5bterm%5d=data%20analyst%20&amp;filters%5bcountry_id%5d=1&amp;filters%5bjob_id%5d=925341&amp;page=1" TargetMode="External"/><Relationship Id="rId189" Type="http://schemas.openxmlformats.org/officeDocument/2006/relationships/hyperlink" Target="https://www.brightermonday.co.ke/listings/backend-developer-z8v44d" TargetMode="External"/><Relationship Id="rId188" Type="http://schemas.openxmlformats.org/officeDocument/2006/relationships/hyperlink" Target="https://www.brightermonday.co.ke/listings/data-entry-z82g7d" TargetMode="External"/><Relationship Id="rId31" Type="http://schemas.openxmlformats.org/officeDocument/2006/relationships/hyperlink" Target="https://www.landscapealliance.org/career/206844000052472904/associate-scientist-data-analyst-icrisat/" TargetMode="External"/><Relationship Id="rId30" Type="http://schemas.openxmlformats.org/officeDocument/2006/relationships/hyperlink" Target="mailto:icrisat.website@icrisat.org" TargetMode="External"/><Relationship Id="rId33" Type="http://schemas.openxmlformats.org/officeDocument/2006/relationships/hyperlink" Target="http://vision2063foundation.org" TargetMode="External"/><Relationship Id="rId183" Type="http://schemas.openxmlformats.org/officeDocument/2006/relationships/hyperlink" Target="https://careers.bcg.com/global/en/job/56537/Delivery-%E2%80%8BAI-UX-Designer%E2%80%8B" TargetMode="External"/><Relationship Id="rId32" Type="http://schemas.openxmlformats.org/officeDocument/2006/relationships/hyperlink" Target="https://vision2063foundation.org/contact/" TargetMode="External"/><Relationship Id="rId182" Type="http://schemas.openxmlformats.org/officeDocument/2006/relationships/hyperlink" Target="http://jobboard.ng" TargetMode="External"/><Relationship Id="rId35" Type="http://schemas.openxmlformats.org/officeDocument/2006/relationships/hyperlink" Target="http://waziricoffee.org" TargetMode="External"/><Relationship Id="rId181" Type="http://schemas.openxmlformats.org/officeDocument/2006/relationships/hyperlink" Target="https://www.jobboard.ng/jobs/data-analyst-greenfield-agro-a95292" TargetMode="External"/><Relationship Id="rId34" Type="http://schemas.openxmlformats.org/officeDocument/2006/relationships/hyperlink" Target="https://www.brightermonday.co.ke/listings/junior-project-manager-j64jwv" TargetMode="External"/><Relationship Id="rId180" Type="http://schemas.openxmlformats.org/officeDocument/2006/relationships/hyperlink" Target="http://www.greenfieldagroproductsltd.com" TargetMode="External"/><Relationship Id="rId37" Type="http://schemas.openxmlformats.org/officeDocument/2006/relationships/hyperlink" Target="https://www.brightermonday.co.ke/listings/social-media-manager-waziri-coffee-2kzepj" TargetMode="External"/><Relationship Id="rId176" Type="http://schemas.openxmlformats.org/officeDocument/2006/relationships/hyperlink" Target="https://www.glassdoor.com/Job/lagos-software-developer-entry-level-jobs-SRCH_IL.0,5_IC2543876_KO6,36.htm" TargetMode="External"/><Relationship Id="rId36" Type="http://schemas.openxmlformats.org/officeDocument/2006/relationships/hyperlink" Target="https://www.instagram.com/waziri_coffee/?hl=en" TargetMode="External"/><Relationship Id="rId175" Type="http://schemas.openxmlformats.org/officeDocument/2006/relationships/hyperlink" Target="https://www.jobberman.com/" TargetMode="External"/><Relationship Id="rId39" Type="http://schemas.openxmlformats.org/officeDocument/2006/relationships/hyperlink" Target="mailto:team@ikwetta.com" TargetMode="External"/><Relationship Id="rId174" Type="http://schemas.openxmlformats.org/officeDocument/2006/relationships/hyperlink" Target="http://b.sc/HND" TargetMode="External"/><Relationship Id="rId38" Type="http://schemas.openxmlformats.org/officeDocument/2006/relationships/hyperlink" Target="https://www.brightermonday.co.ke/listings/graphic-designer-pgdwqp" TargetMode="External"/><Relationship Id="rId173" Type="http://schemas.openxmlformats.org/officeDocument/2006/relationships/hyperlink" Target="https://www.careers24.com/jobs/adverts/2373431-junior-data-analyst-cape-town-northern-suburbs/?jobindex=1" TargetMode="External"/><Relationship Id="rId179" Type="http://schemas.openxmlformats.org/officeDocument/2006/relationships/hyperlink" Target="http://jobboard.ng" TargetMode="External"/><Relationship Id="rId178" Type="http://schemas.openxmlformats.org/officeDocument/2006/relationships/hyperlink" Target="https://www.jobboard.ng/jobs/data-scientist-signalcom-nigeria-a763fe" TargetMode="External"/><Relationship Id="rId177" Type="http://schemas.openxmlformats.org/officeDocument/2006/relationships/hyperlink" Target="http://www.signcomng.com" TargetMode="External"/><Relationship Id="rId20" Type="http://schemas.openxmlformats.org/officeDocument/2006/relationships/hyperlink" Target="https://ng.indeed.com/jobs?q=graphic+design+entry+level&amp;l=Nigeria&amp;from=searchOnDesktopSerp%2Cwhatautocomplete%2CwhatautocompleteSourceStandard%2Cwhereautocomplete&amp;vjk=81ae3784339fd934" TargetMode="External"/><Relationship Id="rId22" Type="http://schemas.openxmlformats.org/officeDocument/2006/relationships/hyperlink" Target="https://share.google/2GeQVmHDQyrHuhCuE" TargetMode="External"/><Relationship Id="rId21" Type="http://schemas.openxmlformats.org/officeDocument/2006/relationships/hyperlink" Target="https://oze.bamboohr.com/careers/79" TargetMode="External"/><Relationship Id="rId24" Type="http://schemas.openxmlformats.org/officeDocument/2006/relationships/hyperlink" Target="https://www.linkedin.com/company/101525717/admin/feed/posts/" TargetMode="External"/><Relationship Id="rId23" Type="http://schemas.openxmlformats.org/officeDocument/2006/relationships/hyperlink" Target="https://careers.ey.com/ey/job/Johannesburg-Digital-Risk-Data-Analytics-IT-Audit-Associate-GP-2146/1409887433/" TargetMode="External"/><Relationship Id="rId26" Type="http://schemas.openxmlformats.org/officeDocument/2006/relationships/hyperlink" Target="https://www.linkedin.com/company/the-world-bank-group" TargetMode="External"/><Relationship Id="rId25" Type="http://schemas.openxmlformats.org/officeDocument/2006/relationships/hyperlink" Target="https://www.careers-page.com/savageone/job/L53RVW33" TargetMode="External"/><Relationship Id="rId28" Type="http://schemas.openxmlformats.org/officeDocument/2006/relationships/hyperlink" Target="mailto:MTNN.ForensicServices@mtn.com" TargetMode="External"/><Relationship Id="rId27" Type="http://schemas.openxmlformats.org/officeDocument/2006/relationships/hyperlink" Target="https://worldbankgroup.csod.com/ux/ats/careersite/1/home/requisition/37223?c=worldbankgroup&amp;lq=Ghana&amp;pl=ChIJx9baqM1a1w8RNtKT0DDy11Q" TargetMode="External"/><Relationship Id="rId29" Type="http://schemas.openxmlformats.org/officeDocument/2006/relationships/hyperlink" Target="https://www.hotnigerianjobs.com/hotjobs/918151/analyst-sales-support-at-mtn-nigeria.html" TargetMode="External"/><Relationship Id="rId11" Type="http://schemas.openxmlformats.org/officeDocument/2006/relationships/hyperlink" Target="https://www.deloitte.com" TargetMode="External"/><Relationship Id="rId10" Type="http://schemas.openxmlformats.org/officeDocument/2006/relationships/hyperlink" Target="https://jobs.smartrecruiters.com/Deloitte6/744000129700739-sap-btp-analyst" TargetMode="External"/><Relationship Id="rId13" Type="http://schemas.openxmlformats.org/officeDocument/2006/relationships/hyperlink" Target="mailto:info@ozow.com?subject=General%20Info%20" TargetMode="External"/><Relationship Id="rId12" Type="http://schemas.openxmlformats.org/officeDocument/2006/relationships/hyperlink" Target="https://jobs.smartrecruiters.com/Deloitte6/744000098073158-software-developer-lead" TargetMode="External"/><Relationship Id="rId15" Type="http://schemas.openxmlformats.org/officeDocument/2006/relationships/hyperlink" Target="https://www.camsoltechnology.com/careers/junior-frontend-developer" TargetMode="External"/><Relationship Id="rId198" Type="http://schemas.openxmlformats.org/officeDocument/2006/relationships/hyperlink" Target="https://www.linkedin.com/company/irecharge-tech-innovations/" TargetMode="External"/><Relationship Id="rId14" Type="http://schemas.openxmlformats.org/officeDocument/2006/relationships/hyperlink" Target="https://job-boards.greenhouse.io/ozow/jobs/7753184003" TargetMode="External"/><Relationship Id="rId197" Type="http://schemas.openxmlformats.org/officeDocument/2006/relationships/hyperlink" Target="https://www.careerjet.com.ng/jobad/ng7d6bc19e1bd396f28d79c73205efd55f" TargetMode="External"/><Relationship Id="rId17" Type="http://schemas.openxmlformats.org/officeDocument/2006/relationships/hyperlink" Target="https://enixcompany.com/contactus" TargetMode="External"/><Relationship Id="rId196" Type="http://schemas.openxmlformats.org/officeDocument/2006/relationships/hyperlink" Target="https://www.careerjet.com.ng/jobad/ng87f4b9007f0944e4e7e3d585c10ad5cc" TargetMode="External"/><Relationship Id="rId16" Type="http://schemas.openxmlformats.org/officeDocument/2006/relationships/hyperlink" Target="https://aide.paysika.co/en/article/job-offer-junior-quality-assurance-engineer-1xv2c0p/" TargetMode="External"/><Relationship Id="rId195" Type="http://schemas.openxmlformats.org/officeDocument/2006/relationships/hyperlink" Target="https://www.linkedin.com/in/capinta-consult-6632113a2" TargetMode="External"/><Relationship Id="rId19" Type="http://schemas.openxmlformats.org/officeDocument/2006/relationships/hyperlink" Target="https://www.enyconsulting.ca/contact" TargetMode="External"/><Relationship Id="rId18" Type="http://schemas.openxmlformats.org/officeDocument/2006/relationships/hyperlink" Target="https://enixcompany.com/jobs/charge-des-operations-delivery-cybersecurite-8" TargetMode="External"/><Relationship Id="rId199" Type="http://schemas.openxmlformats.org/officeDocument/2006/relationships/hyperlink" Target="https://www.careerjet.com.ng/jobad/ng284d9e0e43fa7c6923dfd98a6f1af069" TargetMode="External"/><Relationship Id="rId84" Type="http://schemas.openxmlformats.org/officeDocument/2006/relationships/hyperlink" Target="http://impact.com/" TargetMode="External"/><Relationship Id="rId83" Type="http://schemas.openxmlformats.org/officeDocument/2006/relationships/hyperlink" Target="https://opportunities.vodafone.com/job/Cairo-DLM-Enterprise-Data-Analyst-VOIS/1403341233/?utm_source=chatgpt.com" TargetMode="External"/><Relationship Id="rId86" Type="http://schemas.openxmlformats.org/officeDocument/2006/relationships/hyperlink" Target="https://ke.linkedin.com/company/kaziweza" TargetMode="External"/><Relationship Id="rId85" Type="http://schemas.openxmlformats.org/officeDocument/2006/relationships/hyperlink" Target="https://impact.com/careers/" TargetMode="External"/><Relationship Id="rId88" Type="http://schemas.openxmlformats.org/officeDocument/2006/relationships/hyperlink" Target="https://babbangona.zohorecruit.com/jobs/Careers/595887000010967193/Analyst-Quality-Assurance-?source=CareerSite" TargetMode="External"/><Relationship Id="rId150" Type="http://schemas.openxmlformats.org/officeDocument/2006/relationships/hyperlink" Target="https://ng.jooble.org/desc/4730122566898833890" TargetMode="External"/><Relationship Id="rId87" Type="http://schemas.openxmlformats.org/officeDocument/2006/relationships/hyperlink" Target="https://www.brightermonday.co.ke/listings/junior-quality-analyst-animal-feeds-d9eem5" TargetMode="External"/><Relationship Id="rId270" Type="http://schemas.openxmlformats.org/officeDocument/2006/relationships/drawing" Target="../drawings/drawing1.xml"/><Relationship Id="rId89" Type="http://schemas.openxmlformats.org/officeDocument/2006/relationships/hyperlink" Target="mailto:hi@flutterwavego.com" TargetMode="External"/><Relationship Id="rId80" Type="http://schemas.openxmlformats.org/officeDocument/2006/relationships/hyperlink" Target="https://watu.applytojob.com/apply/9Wp2wT6CYg/Process-Analyst-Rwanda" TargetMode="External"/><Relationship Id="rId82" Type="http://schemas.openxmlformats.org/officeDocument/2006/relationships/hyperlink" Target="https://watu.applytojob.com/apply/tVOmvycKmL/Process-Analyst-Nigeria" TargetMode="External"/><Relationship Id="rId81" Type="http://schemas.openxmlformats.org/officeDocument/2006/relationships/hyperlink" Target="https://watu.applytojob.com/apply/Ms3sMEojQv/Process-AnalystSierra-Leone" TargetMode="External"/><Relationship Id="rId1" Type="http://schemas.openxmlformats.org/officeDocument/2006/relationships/hyperlink" Target="https://www.standardbank.com/sbg/standard-bank-group/careers/apply/jobs/view-all-jobs/job-detail?jobID=744000135496529" TargetMode="External"/><Relationship Id="rId2" Type="http://schemas.openxmlformats.org/officeDocument/2006/relationships/hyperlink" Target="http://takealot.com" TargetMode="External"/><Relationship Id="rId3" Type="http://schemas.openxmlformats.org/officeDocument/2006/relationships/hyperlink" Target="https://www.instagram.com/takealotcom" TargetMode="External"/><Relationship Id="rId149" Type="http://schemas.openxmlformats.org/officeDocument/2006/relationships/hyperlink" Target="https://ng.jooble.org/desc/-3417613491960785046" TargetMode="External"/><Relationship Id="rId4" Type="http://schemas.openxmlformats.org/officeDocument/2006/relationships/hyperlink" Target="https://www.takealot.com/careers/jobs/7491181" TargetMode="External"/><Relationship Id="rId148" Type="http://schemas.openxmlformats.org/officeDocument/2006/relationships/hyperlink" Target="https://ng.jooble.org/desc/-8672085831622799353" TargetMode="External"/><Relationship Id="rId269" Type="http://schemas.openxmlformats.org/officeDocument/2006/relationships/hyperlink" Target="http://wuzzuf.net" TargetMode="External"/><Relationship Id="rId9" Type="http://schemas.openxmlformats.org/officeDocument/2006/relationships/hyperlink" Target="https://www.deloitte.com" TargetMode="External"/><Relationship Id="rId143" Type="http://schemas.openxmlformats.org/officeDocument/2006/relationships/hyperlink" Target="https://www.jobberman.com/listings/qa-engineer-software-quality-assurance-450n6v" TargetMode="External"/><Relationship Id="rId264" Type="http://schemas.openxmlformats.org/officeDocument/2006/relationships/hyperlink" Target="https://wuzzuf.net/jobs/p/xu2aggrvnuqt-mid-level-manual-qa-engineer-vertex-technologies-cairo-egypt?l=cpp&amp;t=cpj" TargetMode="External"/><Relationship Id="rId142" Type="http://schemas.openxmlformats.org/officeDocument/2006/relationships/hyperlink" Target="https://www.jobberman.com/listings/social-media-manager-j6p728" TargetMode="External"/><Relationship Id="rId263" Type="http://schemas.openxmlformats.org/officeDocument/2006/relationships/hyperlink" Target="http://wuzzuf.net" TargetMode="External"/><Relationship Id="rId141" Type="http://schemas.openxmlformats.org/officeDocument/2006/relationships/hyperlink" Target="https://www.jobberman.com/listings/junior-software-developer-er9mdv" TargetMode="External"/><Relationship Id="rId262" Type="http://schemas.openxmlformats.org/officeDocument/2006/relationships/hyperlink" Target="https://wuzzuf.net/jobs/p/h6z57ivtqset-computer-science-computer-engineering-fresh-graduates-cairo-egypt?o=5&amp;l=bp&amp;t=bj&amp;bpv=np&amp;a=Business-Intelligence-Jobs-in-Egypt" TargetMode="External"/><Relationship Id="rId140" Type="http://schemas.openxmlformats.org/officeDocument/2006/relationships/hyperlink" Target="https://expresspaygh.com/job-listing?id=4" TargetMode="External"/><Relationship Id="rId261" Type="http://schemas.openxmlformats.org/officeDocument/2006/relationships/hyperlink" Target="http://wuzzuf.net" TargetMode="External"/><Relationship Id="rId5" Type="http://schemas.openxmlformats.org/officeDocument/2006/relationships/hyperlink" Target="https://www.deloitte.com" TargetMode="External"/><Relationship Id="rId147" Type="http://schemas.openxmlformats.org/officeDocument/2006/relationships/hyperlink" Target="https://ng.jooble.org/desc/-1233817562400878499" TargetMode="External"/><Relationship Id="rId268" Type="http://schemas.openxmlformats.org/officeDocument/2006/relationships/hyperlink" Target="https://wuzzuf.net/jobs/p/ubdocjcxnbgx-junior-fullstack-net-developer-godigital-giza-egypt?l=jp&amp;t=sij&amp;o=5" TargetMode="External"/><Relationship Id="rId6" Type="http://schemas.openxmlformats.org/officeDocument/2006/relationships/hyperlink" Target="https://jobs.smartrecruiters.com/Deloitte6/744000133375779-africa-talent-by-deloitte-irl-data-analytics-data-engineer-consultant" TargetMode="External"/><Relationship Id="rId146" Type="http://schemas.openxmlformats.org/officeDocument/2006/relationships/hyperlink" Target="https://ng.jooble.org/desc/-2876550989570241722" TargetMode="External"/><Relationship Id="rId267" Type="http://schemas.openxmlformats.org/officeDocument/2006/relationships/hyperlink" Target="http://wuzzuf.com" TargetMode="External"/><Relationship Id="rId7" Type="http://schemas.openxmlformats.org/officeDocument/2006/relationships/hyperlink" Target="https://www.deloitte.com" TargetMode="External"/><Relationship Id="rId145" Type="http://schemas.openxmlformats.org/officeDocument/2006/relationships/hyperlink" Target="https://www.jobberman.com/listings/mobile-app-developer-8mmxjp" TargetMode="External"/><Relationship Id="rId266" Type="http://schemas.openxmlformats.org/officeDocument/2006/relationships/hyperlink" Target="https://wuzzuf.net/jobs/p/stt5j2d9hkxj-application-support-engineer-erada-cairo-egypt?l=jp&amp;t=sij&amp;o=5" TargetMode="External"/><Relationship Id="rId8" Type="http://schemas.openxmlformats.org/officeDocument/2006/relationships/hyperlink" Target="https://jobs.smartrecruiters.com/Deloitte6/744000129999945-africa-talent-by-deloitte-consultant-ai-assurance-nl" TargetMode="External"/><Relationship Id="rId144" Type="http://schemas.openxmlformats.org/officeDocument/2006/relationships/hyperlink" Target="https://www.jobberman.com/listings/web-designerdeveloper-pgg990" TargetMode="External"/><Relationship Id="rId265" Type="http://schemas.openxmlformats.org/officeDocument/2006/relationships/hyperlink" Target="http://wuzzuf.net" TargetMode="External"/><Relationship Id="rId73" Type="http://schemas.openxmlformats.org/officeDocument/2006/relationships/hyperlink" Target="http://contact.orange.fr/?fbclid=IwZXh0bgNhZW0CMTAAYnJpZBExT3JHenV1dUFVMGRiOWI2T3NydGMGYXBwX2lkEDIyMjAzOTE3ODgyMDA4OTIAAR695_GzDSD6ej0sSOs6VcDfstRPF-KgCO-1Y32PYR0HctGfoH0JUiCxFiyxuA_aem_F6VwVjhzHEHHGzVxEOdsqQ" TargetMode="External"/><Relationship Id="rId72" Type="http://schemas.openxmlformats.org/officeDocument/2006/relationships/hyperlink" Target="https://careers.teknowledge.com/teknowledge/jobs/15551?lang=en-us" TargetMode="External"/><Relationship Id="rId75" Type="http://schemas.openxmlformats.org/officeDocument/2006/relationships/hyperlink" Target="https://lopterraservices.com/jobs/digital-marketer/" TargetMode="External"/><Relationship Id="rId74" Type="http://schemas.openxmlformats.org/officeDocument/2006/relationships/hyperlink" Target="https://orange.jobs/gb/en/job/ICM-587569/Data-Analyst" TargetMode="External"/><Relationship Id="rId77" Type="http://schemas.openxmlformats.org/officeDocument/2006/relationships/hyperlink" Target="https://lopterraservices.com/jobs/digital-marketer/" TargetMode="External"/><Relationship Id="rId260" Type="http://schemas.openxmlformats.org/officeDocument/2006/relationships/hyperlink" Target="https://wuzzuf.net/jobs/p/kovyl8pakif0-bi-front-end-developer-cairo-egypt?o=4&amp;l=bp&amp;t=bj&amp;bpv=np&amp;a=Business-Intelligence-Jobs-in-Egypt" TargetMode="External"/><Relationship Id="rId76" Type="http://schemas.openxmlformats.org/officeDocument/2006/relationships/hyperlink" Target="https://codarhq.com/" TargetMode="External"/><Relationship Id="rId79" Type="http://schemas.openxmlformats.org/officeDocument/2006/relationships/hyperlink" Target="https://watu.applytojob.com/apply/Ciep2pZmmX/QA-Automation-Engineer" TargetMode="External"/><Relationship Id="rId78" Type="http://schemas.openxmlformats.org/officeDocument/2006/relationships/hyperlink" Target="https://lopterraservices.com/jobs/digital-sales-officer/" TargetMode="External"/><Relationship Id="rId71" Type="http://schemas.openxmlformats.org/officeDocument/2006/relationships/hyperlink" Target="https://web.facebook.com/TeKnowledgeGlobal" TargetMode="External"/><Relationship Id="rId70" Type="http://schemas.openxmlformats.org/officeDocument/2006/relationships/hyperlink" Target="https://careers.teknowledge.com/teknowledge/jobs/17476?lang=en-us" TargetMode="External"/><Relationship Id="rId139" Type="http://schemas.openxmlformats.org/officeDocument/2006/relationships/hyperlink" Target="https://expresspaygh.com/job-listing?id=3" TargetMode="External"/><Relationship Id="rId138" Type="http://schemas.openxmlformats.org/officeDocument/2006/relationships/hyperlink" Target="https://jumo.careers.hibob.com/jobs/a7cfa2ca-d8fe-4fff-968f-3a836ea542ee" TargetMode="External"/><Relationship Id="rId259" Type="http://schemas.openxmlformats.org/officeDocument/2006/relationships/hyperlink" Target="http://echjobsinghana.com/" TargetMode="External"/><Relationship Id="rId137" Type="http://schemas.openxmlformats.org/officeDocument/2006/relationships/hyperlink" Target="https://jumo.careers.hibob.com/jobs/7db5c6f2-7279-411a-a50c-aa0945ca6e2a" TargetMode="External"/><Relationship Id="rId258" Type="http://schemas.openxmlformats.org/officeDocument/2006/relationships/hyperlink" Target="https://techjobsinghana.com/tjig-jobs/junior-fraud-analyst/" TargetMode="External"/><Relationship Id="rId132" Type="http://schemas.openxmlformats.org/officeDocument/2006/relationships/hyperlink" Target="http://breezy.hr" TargetMode="External"/><Relationship Id="rId253" Type="http://schemas.openxmlformats.org/officeDocument/2006/relationships/hyperlink" Target="http://reactnode.js" TargetMode="External"/><Relationship Id="rId131" Type="http://schemas.openxmlformats.org/officeDocument/2006/relationships/hyperlink" Target="https://mukuru.breezy.hr/p/a5ba3fc45675-ai-data-specialist" TargetMode="External"/><Relationship Id="rId252" Type="http://schemas.openxmlformats.org/officeDocument/2006/relationships/hyperlink" Target="https://ng.indeed.com/q-tech-jobs.html?vjk=57a6e6f54fa6b3d7" TargetMode="External"/><Relationship Id="rId130" Type="http://schemas.openxmlformats.org/officeDocument/2006/relationships/hyperlink" Target="https://job-boards.greenhouse.io/ozow/jobs/7728311003" TargetMode="External"/><Relationship Id="rId251" Type="http://schemas.openxmlformats.org/officeDocument/2006/relationships/hyperlink" Target="mailto:hello@tenxix.com" TargetMode="External"/><Relationship Id="rId250" Type="http://schemas.openxmlformats.org/officeDocument/2006/relationships/hyperlink" Target="https://wuzzuf.net/jobs/p/hio3zheeqpg8-oracle-apps-database-administrator-dba-gb-corp-giza-egypt" TargetMode="External"/><Relationship Id="rId136" Type="http://schemas.openxmlformats.org/officeDocument/2006/relationships/hyperlink" Target="http://simplify.hr" TargetMode="External"/><Relationship Id="rId257" Type="http://schemas.openxmlformats.org/officeDocument/2006/relationships/hyperlink" Target="http://b.sc" TargetMode="External"/><Relationship Id="rId135" Type="http://schemas.openxmlformats.org/officeDocument/2006/relationships/hyperlink" Target="https://lesakatech.simplify.hr/Vacancy/193194" TargetMode="External"/><Relationship Id="rId256" Type="http://schemas.openxmlformats.org/officeDocument/2006/relationships/hyperlink" Target="https://www.brightermonday.co.ke/listings/digital-marketing-content-creator-5-positions-vd4dqm" TargetMode="External"/><Relationship Id="rId134" Type="http://schemas.openxmlformats.org/officeDocument/2006/relationships/hyperlink" Target="http://simplify.hr" TargetMode="External"/><Relationship Id="rId255" Type="http://schemas.openxmlformats.org/officeDocument/2006/relationships/hyperlink" Target="https://www.facebook.com/kazipoint/" TargetMode="External"/><Relationship Id="rId133" Type="http://schemas.openxmlformats.org/officeDocument/2006/relationships/hyperlink" Target="https://lesakatech.simplify.hr/Vacancy/187674" TargetMode="External"/><Relationship Id="rId254" Type="http://schemas.openxmlformats.org/officeDocument/2006/relationships/hyperlink" Target="https://www.jobboard.ng/jobs/security-engineer-thriftwise-0f939e" TargetMode="External"/><Relationship Id="rId62" Type="http://schemas.openxmlformats.org/officeDocument/2006/relationships/hyperlink" Target="https://www.wave.com/en/" TargetMode="External"/><Relationship Id="rId61" Type="http://schemas.openxmlformats.org/officeDocument/2006/relationships/hyperlink" Target="https://www.wave.com/en/careers/job/5843261004/" TargetMode="External"/><Relationship Id="rId64" Type="http://schemas.openxmlformats.org/officeDocument/2006/relationships/hyperlink" Target="https://www.wave.com/en/" TargetMode="External"/><Relationship Id="rId63" Type="http://schemas.openxmlformats.org/officeDocument/2006/relationships/hyperlink" Target="https://www.wave.com/en/careers/job/5843261004/" TargetMode="External"/><Relationship Id="rId66" Type="http://schemas.openxmlformats.org/officeDocument/2006/relationships/hyperlink" Target="https://web.facebook.com/TeKnowledgeGlobal" TargetMode="External"/><Relationship Id="rId172" Type="http://schemas.openxmlformats.org/officeDocument/2006/relationships/hyperlink" Target="https://www.fuzu.com/job/computers-software-development?page=6&amp;_gl=1*7q55xy*_up*MQ..*_ga*Nzk0ODk2NDg0LjE3ODQwMjU4OTQ.*_ga_GJPTPX5Q4R*czE3ODQwMjU4OTMkbzEkZzAkdDE3ODQwMjU4OTMkajYwJGwwJGgw&amp;filters%5Bjob_id%5D=932755" TargetMode="External"/><Relationship Id="rId65" Type="http://schemas.openxmlformats.org/officeDocument/2006/relationships/hyperlink" Target="https://www.wave.com/en/careers/job/6104755004/" TargetMode="External"/><Relationship Id="rId171" Type="http://schemas.openxmlformats.org/officeDocument/2006/relationships/hyperlink" Target="https://www.fuzu.com/job/computers-software-development?page=5" TargetMode="External"/><Relationship Id="rId68" Type="http://schemas.openxmlformats.org/officeDocument/2006/relationships/hyperlink" Target="http://b.sc/" TargetMode="External"/><Relationship Id="rId170" Type="http://schemas.openxmlformats.org/officeDocument/2006/relationships/hyperlink" Target="https://www.linkedin.com/company/589463/admin/feed/posts/" TargetMode="External"/><Relationship Id="rId67" Type="http://schemas.openxmlformats.org/officeDocument/2006/relationships/hyperlink" Target="https://careers.teknowledge.com/teknowledge/jobs/17503?lang=en-us" TargetMode="External"/><Relationship Id="rId60" Type="http://schemas.openxmlformats.org/officeDocument/2006/relationships/hyperlink" Target="https://www.wave.com/en/" TargetMode="External"/><Relationship Id="rId165" Type="http://schemas.openxmlformats.org/officeDocument/2006/relationships/hyperlink" Target="https://www.linkedin.com/company/international-rescue-committee/mycompany/" TargetMode="External"/><Relationship Id="rId69" Type="http://schemas.openxmlformats.org/officeDocument/2006/relationships/hyperlink" Target="https://web.facebook.com/TeKnowledgeGlobal" TargetMode="External"/><Relationship Id="rId164" Type="http://schemas.openxmlformats.org/officeDocument/2006/relationships/hyperlink" Target="https://victoryfarmskenya.com/jobs/junior-systems-analyst/" TargetMode="External"/><Relationship Id="rId163" Type="http://schemas.openxmlformats.org/officeDocument/2006/relationships/hyperlink" Target="https://www.linkedin.com/company/6214041/" TargetMode="External"/><Relationship Id="rId162" Type="http://schemas.openxmlformats.org/officeDocument/2006/relationships/hyperlink" Target="https://www.fuzu.com/job/computers-software-development?page=3&amp;_gl=1*7q55xy*_up*MQ..*_ga*Nzk0ODk2NDg0LjE3ODQwMjU4OTQ.*_ga_GJPTPX5Q4R*czE3ODQwMjU4OTMkbzEkZzAkdDE3ODQwMjU4OTMkajYwJGwwJGgw&amp;filters%5Bjob_id%5D=936434" TargetMode="External"/><Relationship Id="rId169" Type="http://schemas.openxmlformats.org/officeDocument/2006/relationships/hyperlink" Target="https://www.fuzu.com/job/computers-software-development?page=4&amp;_gl=1*7q55xy*_up*MQ..*_ga*Nzk0ODk2NDg0LjE3ODQwMjU4OTQ.*_ga_GJPTPX5Q4R*czE3ODQwMjU4OTMkbzEkZzAkdDE3ODQwMjU4OTMkajYwJGwwJGgw&amp;filters%5Bjob_id%5D=926388" TargetMode="External"/><Relationship Id="rId168" Type="http://schemas.openxmlformats.org/officeDocument/2006/relationships/hyperlink" Target="https://www.fuzu.com/job/computers-software-development?page=4&amp;_gl=1*7q55xy*_up*MQ..*_ga*Nzk0ODk2NDg0LjE3ODQwMjU4OTQ.*_ga_GJPTPX5Q4R*czE3ODQwMjU4OTMkbzEkZzAkdDE3ODQwMjU4OTMkajYwJGwwJGgw&amp;filters%5Bjob_id%5D=934031" TargetMode="External"/><Relationship Id="rId167" Type="http://schemas.openxmlformats.org/officeDocument/2006/relationships/hyperlink" Target="https://www.linkedin.com/company/ieslglobal1990/" TargetMode="External"/><Relationship Id="rId166" Type="http://schemas.openxmlformats.org/officeDocument/2006/relationships/hyperlink" Target="https://www.fuzu.com/job/computers-software-development?page=3&amp;_gl=1*7q55xy*_up*MQ..*_ga*Nzk0ODk2NDg0LjE3ODQwMjU4OTQ.*_ga_GJPTPX5Q4R*czE3ODQwMjU4OTMkbzEkZzAkdDE3ODQwMjU4OTMkajYwJGwwJGgw&amp;filters%5Bjob_id%5D=935548" TargetMode="External"/><Relationship Id="rId51" Type="http://schemas.openxmlformats.org/officeDocument/2006/relationships/hyperlink" Target="https://sproxil.com/" TargetMode="External"/><Relationship Id="rId50" Type="http://schemas.openxmlformats.org/officeDocument/2006/relationships/hyperlink" Target="https://tinyurl.com/37k284aa" TargetMode="External"/><Relationship Id="rId53" Type="http://schemas.openxmlformats.org/officeDocument/2006/relationships/hyperlink" Target="mailto:hire@savageone.co" TargetMode="External"/><Relationship Id="rId52" Type="http://schemas.openxmlformats.org/officeDocument/2006/relationships/hyperlink" Target="https://www.hotnigerianjobs.com/hotjobs/914425/associate-data-analyst-at-sproxil-nigeria-limited.html" TargetMode="External"/><Relationship Id="rId55" Type="http://schemas.openxmlformats.org/officeDocument/2006/relationships/hyperlink" Target="https://www.careers-page.com/savageone/job/L53RVW33" TargetMode="External"/><Relationship Id="rId161" Type="http://schemas.openxmlformats.org/officeDocument/2006/relationships/hyperlink" Target="https://www.linkedin.com/company/6214041/" TargetMode="External"/><Relationship Id="rId54" Type="http://schemas.openxmlformats.org/officeDocument/2006/relationships/hyperlink" Target="https://www.linkedin.com/company/101525717/admin/feed/posts/" TargetMode="External"/><Relationship Id="rId160" Type="http://schemas.openxmlformats.org/officeDocument/2006/relationships/hyperlink" Target="https://www.fuzu.com/job/computers-software-development?page=2&amp;_gl=1*7q55xy*_up*MQ..*_ga*Nzk0ODk2NDg0LjE3ODQwMjU4OTQ.*_ga_GJPTPX5Q4R*czE3ODQwMjU4OTMkbzEkZzAkdDE3ODQwMjU4OTMkajYwJGwwJGgw&amp;filters%5Bjob_id%5D=939249" TargetMode="External"/><Relationship Id="rId57" Type="http://schemas.openxmlformats.org/officeDocument/2006/relationships/hyperlink" Target="https://worldbankgroup.csod.com/ux/ats/careersite/1/home/requisition/37223?c=worldbankgroup&amp;lq=Ghana&amp;pl=ChIJx9baqM1a1w8RNtKT0DDy11Q" TargetMode="External"/><Relationship Id="rId56" Type="http://schemas.openxmlformats.org/officeDocument/2006/relationships/hyperlink" Target="https://www.ifc.org/" TargetMode="External"/><Relationship Id="rId159" Type="http://schemas.openxmlformats.org/officeDocument/2006/relationships/hyperlink" Target="https://www.fuzu.com/job/computers-software-development?page=1&amp;_gl=1*7q55xy*_up*MQ..*_ga*Nzk0ODk2NDg0LjE3ODQwMjU4OTQ.*_ga_GJPTPX5Q4R*czE3ODQwMjU4OTMkbzEkZzAkdDE3ODQwMjU4OTMkajYwJGwwJGgw&amp;filters%5Bjob_id%5D=940293" TargetMode="External"/><Relationship Id="rId59" Type="http://schemas.openxmlformats.org/officeDocument/2006/relationships/hyperlink" Target="https://www.wave.com/en/careers/job/5402628004/" TargetMode="External"/><Relationship Id="rId154" Type="http://schemas.openxmlformats.org/officeDocument/2006/relationships/hyperlink" Target="https://www.glassdoor.com/Job/lagos-graphics-designer-entry-level-jobs-SRCH_IL.0,5_IC2543876_KO6,35.htm" TargetMode="External"/><Relationship Id="rId58" Type="http://schemas.openxmlformats.org/officeDocument/2006/relationships/hyperlink" Target="https://www.wave.com/en/" TargetMode="External"/><Relationship Id="rId153" Type="http://schemas.openxmlformats.org/officeDocument/2006/relationships/hyperlink" Target="https://www.glassdoor.com/Job/lagos-graphics-designer-entry-level-jobs-SRCH_IL.0,5_IC2543876_KO6,35.htm" TargetMode="External"/><Relationship Id="rId152" Type="http://schemas.openxmlformats.org/officeDocument/2006/relationships/hyperlink" Target="https://www.glassdoor.com/Job/lagos-nigeria-analyst-entry-level-jobs-SRCH_IL.0,13_IC2543876_KO14,33.htm" TargetMode="External"/><Relationship Id="rId151" Type="http://schemas.openxmlformats.org/officeDocument/2006/relationships/hyperlink" Target="https://ng.jooble.org/desc/425853932042968210" TargetMode="External"/><Relationship Id="rId158" Type="http://schemas.openxmlformats.org/officeDocument/2006/relationships/hyperlink" Target="https://www.fuzu.com/job/computers-software-development?page=1&amp;_gl=1*7q55xy*_up*MQ..*_ga*Nzk0ODk2NDg0LjE3ODQwMjU4OTQ.*_ga_GJPTPX5Q4R*czE3ODQwMjU4OTMkbzEkZzAkdDE3ODQwMjU4OTMkajYwJGwwJGgw&amp;filters%5Bjob_id%5D=940100" TargetMode="External"/><Relationship Id="rId157" Type="http://schemas.openxmlformats.org/officeDocument/2006/relationships/hyperlink" Target="https://www.linkedin.com/in/mirema-schoolke/" TargetMode="External"/><Relationship Id="rId156" Type="http://schemas.openxmlformats.org/officeDocument/2006/relationships/hyperlink" Target="https://www.fuzu.com/company/mirema-school" TargetMode="External"/><Relationship Id="rId155" Type="http://schemas.openxmlformats.org/officeDocument/2006/relationships/hyperlink" Target="https://www.glassdoor.com/Job/lagos-software-developer-entry-level-jobs-SRCH_IL.0,5_IC2543876_KO6,36.htm" TargetMode="External"/><Relationship Id="rId107" Type="http://schemas.openxmlformats.org/officeDocument/2006/relationships/hyperlink" Target="https://www.instagram.com/suregifts" TargetMode="External"/><Relationship Id="rId228" Type="http://schemas.openxmlformats.org/officeDocument/2006/relationships/hyperlink" Target="http://brightermonday.co.ke" TargetMode="External"/><Relationship Id="rId106" Type="http://schemas.openxmlformats.org/officeDocument/2006/relationships/hyperlink" Target="mailto:hello@suregifts.com.ng" TargetMode="External"/><Relationship Id="rId227" Type="http://schemas.openxmlformats.org/officeDocument/2006/relationships/hyperlink" Target="https://ng.indeed.com/viewjob?jk=8b91ca3f68c18501&amp;tk=1jteoc3phk1uo800&amp;from=serp&amp;vjs=3" TargetMode="External"/><Relationship Id="rId105" Type="http://schemas.openxmlformats.org/officeDocument/2006/relationships/hyperlink" Target="https://jobs.smartyacad.com/suregifts-remote-vacancies-2026/" TargetMode="External"/><Relationship Id="rId226" Type="http://schemas.openxmlformats.org/officeDocument/2006/relationships/hyperlink" Target="https://ng.indeed.com/viewjob?jk=ddce649a7caf71e0&amp;tk=1jteoc3phk1uo800&amp;from=serp&amp;vjs=3" TargetMode="External"/><Relationship Id="rId104" Type="http://schemas.openxmlformats.org/officeDocument/2006/relationships/hyperlink" Target="https://www.instagram.com/suregifts" TargetMode="External"/><Relationship Id="rId225" Type="http://schemas.openxmlformats.org/officeDocument/2006/relationships/hyperlink" Target="https://www.jobberman.com/listings/graphic-design-pgg074" TargetMode="External"/><Relationship Id="rId109" Type="http://schemas.openxmlformats.org/officeDocument/2006/relationships/hyperlink" Target="http://360.ai/" TargetMode="External"/><Relationship Id="rId108" Type="http://schemas.openxmlformats.org/officeDocument/2006/relationships/hyperlink" Target="https://jobs.smartyacad.com/suregifts-remote-vacancies-2026/" TargetMode="External"/><Relationship Id="rId229" Type="http://schemas.openxmlformats.org/officeDocument/2006/relationships/hyperlink" Target="https://www.brightermonday.co.ke/listings/social-media-manager-content-creator-internship-d9rmk8" TargetMode="External"/><Relationship Id="rId220" Type="http://schemas.openxmlformats.org/officeDocument/2006/relationships/hyperlink" Target="https://www.careerjet.co.za/jobad/za741341c5b4d09b8b77803ca8b7a922d7" TargetMode="External"/><Relationship Id="rId103" Type="http://schemas.openxmlformats.org/officeDocument/2006/relationships/hyperlink" Target="mailto:hello@suregifts.com.ng" TargetMode="External"/><Relationship Id="rId224" Type="http://schemas.openxmlformats.org/officeDocument/2006/relationships/hyperlink" Target="https://www.jobberman.com/listings/uiux-designer-x8g8pj" TargetMode="External"/><Relationship Id="rId102" Type="http://schemas.openxmlformats.org/officeDocument/2006/relationships/hyperlink" Target="https://jobs.smartyacad.com/suregifts-remote-vacancies-2026/" TargetMode="External"/><Relationship Id="rId223" Type="http://schemas.openxmlformats.org/officeDocument/2006/relationships/hyperlink" Target="https://www.jobberman.com/listings/web-designerdeveloper-pgg990" TargetMode="External"/><Relationship Id="rId101" Type="http://schemas.openxmlformats.org/officeDocument/2006/relationships/hyperlink" Target="https://www.instagram.com/suregifts" TargetMode="External"/><Relationship Id="rId222" Type="http://schemas.openxmlformats.org/officeDocument/2006/relationships/hyperlink" Target="https://ng.indeed.com/jobs?q=lauren+parker+limited&amp;l=Nigeria&amp;from=searchOnDesktopSerp&amp;vjk=888397676b63e1ff" TargetMode="External"/><Relationship Id="rId100" Type="http://schemas.openxmlformats.org/officeDocument/2006/relationships/hyperlink" Target="mailto:hello@suregifts.com.ng" TargetMode="External"/><Relationship Id="rId221" Type="http://schemas.openxmlformats.org/officeDocument/2006/relationships/hyperlink" Target="https://www.careerjet.co.za/jobad/za9a4165138bf9ff072f074033e05e430f" TargetMode="External"/><Relationship Id="rId217" Type="http://schemas.openxmlformats.org/officeDocument/2006/relationships/hyperlink" Target="https://www.careerjet.co.za/jobad/za11326e07142cd298cb30c74146f1dc44" TargetMode="External"/><Relationship Id="rId216" Type="http://schemas.openxmlformats.org/officeDocument/2006/relationships/hyperlink" Target="https://www.careerjet.co.za/jobad/za9d1ab4692bf8e41a9c569a3710722f2e" TargetMode="External"/><Relationship Id="rId215" Type="http://schemas.openxmlformats.org/officeDocument/2006/relationships/hyperlink" Target="https://www.careerjet.co.za/jobad/zaf74c65afaad2fbc8689e445fea02f0de" TargetMode="External"/><Relationship Id="rId214" Type="http://schemas.openxmlformats.org/officeDocument/2006/relationships/hyperlink" Target="https://www.careerjet.co.za/jobad/za90eed25c6d40bcd68ccb641ec314569a" TargetMode="External"/><Relationship Id="rId219" Type="http://schemas.openxmlformats.org/officeDocument/2006/relationships/hyperlink" Target="https://www.careerjet.co.za/jobad/za7452b6dc0afa154c6d294d1e5427fac3" TargetMode="External"/><Relationship Id="rId218" Type="http://schemas.openxmlformats.org/officeDocument/2006/relationships/hyperlink" Target="https://www.careerjet.co.za/jobad/zab1b1eb6c674cbeffdfe3701e7d1ba730" TargetMode="External"/><Relationship Id="rId213" Type="http://schemas.openxmlformats.org/officeDocument/2006/relationships/hyperlink" Target="https://www.careerjet.co.za/jobad/za55c1809d534ee922fb9d0cba5f1ea5dc" TargetMode="External"/><Relationship Id="rId212" Type="http://schemas.openxmlformats.org/officeDocument/2006/relationships/hyperlink" Target="https://www.linkedin.com/company/careers24" TargetMode="External"/><Relationship Id="rId211" Type="http://schemas.openxmlformats.org/officeDocument/2006/relationships/hyperlink" Target="https://www.careerjet.co.za/jobad/za71e55170c7008e1a8435c192634902a2" TargetMode="External"/><Relationship Id="rId210" Type="http://schemas.openxmlformats.org/officeDocument/2006/relationships/hyperlink" Target="https://www.linkedin.com/company/abantu-staffing-solutions/" TargetMode="External"/><Relationship Id="rId129" Type="http://schemas.openxmlformats.org/officeDocument/2006/relationships/hyperlink" Target="https://apply.workable.com/renmoney/j/D5AAC129C5/" TargetMode="External"/><Relationship Id="rId128" Type="http://schemas.openxmlformats.org/officeDocument/2006/relationships/hyperlink" Target="http://b.sc" TargetMode="External"/><Relationship Id="rId249" Type="http://schemas.openxmlformats.org/officeDocument/2006/relationships/hyperlink" Target="https://gb-corporation.com/" TargetMode="External"/><Relationship Id="rId127" Type="http://schemas.openxmlformats.org/officeDocument/2006/relationships/hyperlink" Target="https://archsoftware.breezy.hr/p/20ba67f33d1c-qa-analyst/apply" TargetMode="External"/><Relationship Id="rId248" Type="http://schemas.openxmlformats.org/officeDocument/2006/relationships/hyperlink" Target="http://b.sc" TargetMode="External"/><Relationship Id="rId126" Type="http://schemas.openxmlformats.org/officeDocument/2006/relationships/hyperlink" Target="https://recruitgo.teamtailor.com/jobs/8034081-app-tester-south-africa" TargetMode="External"/><Relationship Id="rId247" Type="http://schemas.openxmlformats.org/officeDocument/2006/relationships/hyperlink" Target="https://www.brightermonday.co.ke/listings/software-developer-2kj0nd" TargetMode="External"/><Relationship Id="rId121" Type="http://schemas.openxmlformats.org/officeDocument/2006/relationships/hyperlink" Target="https://ng.indeed.com/jobs?q=&amp;l=Africa&amp;radius=25&amp;limit=15&amp;from=searchOnDesktopSerp&amp;start=30&amp;vjk=76c0b11a84c095d6" TargetMode="External"/><Relationship Id="rId242" Type="http://schemas.openxmlformats.org/officeDocument/2006/relationships/hyperlink" Target="https://www.brightermonday.co.ke/listings/ai-transformation-analyst-45j248" TargetMode="External"/><Relationship Id="rId120" Type="http://schemas.openxmlformats.org/officeDocument/2006/relationships/hyperlink" Target="https://www.linkedin.com/company/almora-io" TargetMode="External"/><Relationship Id="rId241" Type="http://schemas.openxmlformats.org/officeDocument/2006/relationships/hyperlink" Target="http://b.sc" TargetMode="External"/><Relationship Id="rId240" Type="http://schemas.openxmlformats.org/officeDocument/2006/relationships/hyperlink" Target="https://apply.workable.com/renmoney/j/D5AAC129C5/" TargetMode="External"/><Relationship Id="rId125" Type="http://schemas.openxmlformats.org/officeDocument/2006/relationships/hyperlink" Target="mailto:careers@recruitgo.com" TargetMode="External"/><Relationship Id="rId246" Type="http://schemas.openxmlformats.org/officeDocument/2006/relationships/hyperlink" Target="https://www.britesmanagement.com/" TargetMode="External"/><Relationship Id="rId124" Type="http://schemas.openxmlformats.org/officeDocument/2006/relationships/hyperlink" Target="https://job-boards.eu.greenhouse.io/moniepoint/jobs/4828394101?gh_src=d2799b12teu" TargetMode="External"/><Relationship Id="rId245" Type="http://schemas.openxmlformats.org/officeDocument/2006/relationships/hyperlink" Target="mailto:recruitment@britesmanagement.com" TargetMode="External"/><Relationship Id="rId123" Type="http://schemas.openxmlformats.org/officeDocument/2006/relationships/hyperlink" Target="https://www.linkedin.com/company/moniepoint" TargetMode="External"/><Relationship Id="rId244" Type="http://schemas.openxmlformats.org/officeDocument/2006/relationships/hyperlink" Target="https://www.brightermonday.co.ke/listings/graphic-designer-videographer-z8v85x" TargetMode="External"/><Relationship Id="rId122" Type="http://schemas.openxmlformats.org/officeDocument/2006/relationships/hyperlink" Target="https://www.linkedin.com/company/chowdeck" TargetMode="External"/><Relationship Id="rId243" Type="http://schemas.openxmlformats.org/officeDocument/2006/relationships/hyperlink" Target="https://www.miremaschool.ac.ke/" TargetMode="External"/><Relationship Id="rId95" Type="http://schemas.openxmlformats.org/officeDocument/2006/relationships/hyperlink" Target="https://jobs.smartyacad.com/agrodemy-remote-recruitment-2026/" TargetMode="External"/><Relationship Id="rId94" Type="http://schemas.openxmlformats.org/officeDocument/2006/relationships/hyperlink" Target="https://ng.linkedin.com/company/agrodemyafrica" TargetMode="External"/><Relationship Id="rId97" Type="http://schemas.openxmlformats.org/officeDocument/2006/relationships/hyperlink" Target="https://jobs.smartyacad.com/digital-marketer-at-peridot-forte/" TargetMode="External"/><Relationship Id="rId96" Type="http://schemas.openxmlformats.org/officeDocument/2006/relationships/hyperlink" Target="https://www.linkedin.com/company/peridot-forte-solutions-consulting" TargetMode="External"/><Relationship Id="rId99" Type="http://schemas.openxmlformats.org/officeDocument/2006/relationships/hyperlink" Target="https://jobs.smartyacad.com/multiple-corporate-vacancies-at-dragnet-nigeria/" TargetMode="External"/><Relationship Id="rId98" Type="http://schemas.openxmlformats.org/officeDocument/2006/relationships/hyperlink" Target="https://www.linkedin.com/company/dragnet-solutions-limited/" TargetMode="External"/><Relationship Id="rId91" Type="http://schemas.openxmlformats.org/officeDocument/2006/relationships/hyperlink" Target="https://flutterwavego.bamboohr.com/careers/1338" TargetMode="External"/><Relationship Id="rId90" Type="http://schemas.openxmlformats.org/officeDocument/2006/relationships/hyperlink" Target="https://www.linkedin.com/company/flutterwave/" TargetMode="External"/><Relationship Id="rId93" Type="http://schemas.openxmlformats.org/officeDocument/2006/relationships/hyperlink" Target="https://www.agrodemy.net/contactus/" TargetMode="External"/><Relationship Id="rId92" Type="http://schemas.openxmlformats.org/officeDocument/2006/relationships/hyperlink" Target="https://jobs.smartyacad.com/graphic-designer-at-ag-trade-services-limited/" TargetMode="External"/><Relationship Id="rId118" Type="http://schemas.openxmlformats.org/officeDocument/2006/relationships/hyperlink" Target="https://ng.linkedin.com/company/ditcosoft-technologies?original_referer=https%3A%2F%2Fwww.google.com%2F" TargetMode="External"/><Relationship Id="rId239" Type="http://schemas.openxmlformats.org/officeDocument/2006/relationships/hyperlink" Target="https://www.linkedin.com/company/renmoney" TargetMode="External"/><Relationship Id="rId117" Type="http://schemas.openxmlformats.org/officeDocument/2006/relationships/hyperlink" Target="https://ng.indeed.com/jobs?q=graphic+design+entry+level&amp;l=Nigeria&amp;limit=15&amp;ts=1783440405093&amp;rq=1&amp;from=HPRecent&amp;rsIdx=0&amp;fromage=last&amp;newcount=9&amp;fromage=last&amp;newcount=9&amp;fromage=last&amp;newcount=9&amp;vjk=7ec9921164b95ace" TargetMode="External"/><Relationship Id="rId238" Type="http://schemas.openxmlformats.org/officeDocument/2006/relationships/hyperlink" Target="http://b.sc" TargetMode="External"/><Relationship Id="rId116" Type="http://schemas.openxmlformats.org/officeDocument/2006/relationships/hyperlink" Target="https://ng.linkedin.com/company/heritage-group-ltd?original_referer=https%3A%2F%2Fwww.google.com%2F" TargetMode="External"/><Relationship Id="rId237" Type="http://schemas.openxmlformats.org/officeDocument/2006/relationships/hyperlink" Target="https://www.archretail.com/" TargetMode="External"/><Relationship Id="rId115" Type="http://schemas.openxmlformats.org/officeDocument/2006/relationships/hyperlink" Target="https://ng.indeed.com/cmp/Raphael-Group/jobs?jk=ba8bf124681c399d&amp;start=0&amp;clearPrefilter=1" TargetMode="External"/><Relationship Id="rId236" Type="http://schemas.openxmlformats.org/officeDocument/2006/relationships/hyperlink" Target="https://www.brightermonday.co.ke/listings/digital-marketing-content-creator-5-positions-vd4dqm" TargetMode="External"/><Relationship Id="rId119" Type="http://schemas.openxmlformats.org/officeDocument/2006/relationships/hyperlink" Target="https://ng.indeed.com/jobs?q=&amp;l=Africa&amp;radius=25&amp;limit=15&amp;from=searchOnDesktopSerp&amp;start=15&amp;vjk=abc7d96e272acaa0" TargetMode="External"/><Relationship Id="rId110" Type="http://schemas.openxmlformats.org/officeDocument/2006/relationships/hyperlink" Target="https://www.linkedin.com/company/base360-ai" TargetMode="External"/><Relationship Id="rId231" Type="http://schemas.openxmlformats.org/officeDocument/2006/relationships/hyperlink" Target="https://ng.indeed.com/viewjob?cmp=Gafford-Property-%2526-Homes&amp;t=Digital+Marketer&amp;jk=2b3bb7d44036e998&amp;xpse=SoCg67I3hvLmHawApp0LbzkdCdPP&amp;xfps=dbfc6030-e581-4f7f-b0b0-c3c3ae19fdd3&amp;xkcb=SoCb67M3hvLsRAgb0z0LbzkdCdPP&amp;vjs=3" TargetMode="External"/><Relationship Id="rId230" Type="http://schemas.openxmlformats.org/officeDocument/2006/relationships/hyperlink" Target="https://ng.indeed.com/viewjob?cmp=Gafford-Property-%2526-Homes&amp;t=Digital+Marketer&amp;jk=2b3bb7d44036e998&amp;xpse=SoCg67I3hvLmHawApp0LbzkdCdPP&amp;xfps=dbfc6030-e581-4f7f-b0b0-c3c3ae19fdd3&amp;xkcb=SoCb67M3hvLsRAgb0z0LbzkdCdPP&amp;vjs=3" TargetMode="External"/><Relationship Id="rId114" Type="http://schemas.openxmlformats.org/officeDocument/2006/relationships/hyperlink" Target="https://www.instagram.com/leigh_harris_property/?hl=en" TargetMode="External"/><Relationship Id="rId235" Type="http://schemas.openxmlformats.org/officeDocument/2006/relationships/hyperlink" Target="http://brightermonday.co.ke" TargetMode="External"/><Relationship Id="rId113" Type="http://schemas.openxmlformats.org/officeDocument/2006/relationships/hyperlink" Target="https://ng.indeed.com/jobs?q=graphic+design+entry+level&amp;l=Nigeria&amp;limit=15&amp;ts=1783440405093&amp;rq=1&amp;from=HPRecent&amp;rsIdx=0&amp;fromage=last&amp;newcount=9&amp;fromage=last&amp;newcount=9&amp;fromage=last&amp;newcount=9&amp;vjk=81215dbd7f18015a" TargetMode="External"/><Relationship Id="rId234" Type="http://schemas.openxmlformats.org/officeDocument/2006/relationships/hyperlink" Target="https://www.brightermonday.co.ke/listings/social-media-content-growth-specialist-rrzr2n" TargetMode="External"/><Relationship Id="rId112" Type="http://schemas.openxmlformats.org/officeDocument/2006/relationships/hyperlink" Target="https://www.instagram.com/leigh_harris_property/?hl=en" TargetMode="External"/><Relationship Id="rId233" Type="http://schemas.openxmlformats.org/officeDocument/2006/relationships/hyperlink" Target="http://brightermonday.co.ke" TargetMode="External"/><Relationship Id="rId111" Type="http://schemas.openxmlformats.org/officeDocument/2006/relationships/hyperlink" Target="https://jobs.smartyacad.com/ai-video-creator-at-base360-ai/" TargetMode="External"/><Relationship Id="rId232" Type="http://schemas.openxmlformats.org/officeDocument/2006/relationships/hyperlink" Target="https://wuzzuf.net/jobs/p/1reuagaroqkn-it-business-analyst-etisalat-egypt-cairo-egypt?o=3&amp;l=sp&amp;t=sj&amp;a=search-v3" TargetMode="External"/><Relationship Id="rId206" Type="http://schemas.openxmlformats.org/officeDocument/2006/relationships/hyperlink" Target="https://www.careerjet.co.za/jobad/za1e8d728add224cdad8d00d62315830b5" TargetMode="External"/><Relationship Id="rId205" Type="http://schemas.openxmlformats.org/officeDocument/2006/relationships/hyperlink" Target="https://www.careerjet.co.za/jobad/za28893651359e6419c3cbecf0e32703ca" TargetMode="External"/><Relationship Id="rId204" Type="http://schemas.openxmlformats.org/officeDocument/2006/relationships/hyperlink" Target="https://www.linkedin.com/company/bamboo-works-llc/" TargetMode="External"/><Relationship Id="rId203" Type="http://schemas.openxmlformats.org/officeDocument/2006/relationships/hyperlink" Target="https://www.careerjet.com.ng/jobad/ngfad5cd1f593781d7a7758d4518b11b3d" TargetMode="External"/><Relationship Id="rId209" Type="http://schemas.openxmlformats.org/officeDocument/2006/relationships/hyperlink" Target="https://www.careerjet.co.za/jobad/zad3c4ca4de1a679c0867ccd98ee2f9f73" TargetMode="External"/><Relationship Id="rId208" Type="http://schemas.openxmlformats.org/officeDocument/2006/relationships/hyperlink" Target="https://www.careerjet.co.za/jobad/zaf832b215459726c98cb90344adecd304" TargetMode="External"/><Relationship Id="rId207" Type="http://schemas.openxmlformats.org/officeDocument/2006/relationships/hyperlink" Target="https://www.linkedin.com/company/getray-ai/" TargetMode="External"/><Relationship Id="rId202" Type="http://schemas.openxmlformats.org/officeDocument/2006/relationships/hyperlink" Target="https://www.careerjet.com.ng/jobad/ng765a333d2ba9ed0ecac5eec7a83986ec" TargetMode="External"/><Relationship Id="rId201" Type="http://schemas.openxmlformats.org/officeDocument/2006/relationships/hyperlink" Target="https://www.careerjet.com.ng/jobad/ngda16c36125962a016894d6b38ff4975c" TargetMode="External"/><Relationship Id="rId200" Type="http://schemas.openxmlformats.org/officeDocument/2006/relationships/hyperlink" Target="https://www.careerjet.com.ng/jobad/ng979a29bf7c4c30f9e18adb41b8e3827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38"/>
    <col customWidth="1" min="2" max="2" width="51.13"/>
    <col customWidth="1" min="3" max="3" width="38.63"/>
    <col customWidth="1" min="4" max="4" width="13.38"/>
    <col customWidth="1" min="5" max="5" width="13.88"/>
    <col customWidth="1" min="6" max="6" width="20.5"/>
    <col customWidth="1" min="7" max="7" width="47.25"/>
    <col customWidth="1" min="8" max="8" width="47.13"/>
    <col customWidth="1" min="9" max="9" width="47.5"/>
    <col customWidth="1" min="10" max="10" width="26.63"/>
    <col customWidth="1" min="11" max="11" width="18.63"/>
    <col customWidth="1" min="12" max="12" width="30.38"/>
    <col customWidth="1" min="13" max="13" width="35.0"/>
    <col customWidth="1" min="14" max="14" width="68.88"/>
    <col customWidth="1" min="15" max="15" width="17.63"/>
    <col customWidth="1" min="16" max="16" width="27.13"/>
    <col customWidth="1" min="17" max="17" width="23.25"/>
    <col customWidth="1" min="18" max="18" width="22.88"/>
    <col customWidth="1" min="19" max="19" width="64.13"/>
    <col customWidth="1" min="20" max="20" width="26.63"/>
  </cols>
  <sheetData>
    <row r="1">
      <c r="A1" s="2" t="s">
        <v>1</v>
      </c>
      <c r="B1" s="2" t="s">
        <v>2</v>
      </c>
      <c r="C1" s="2" t="s">
        <v>3</v>
      </c>
      <c r="D1" s="2" t="s">
        <v>4</v>
      </c>
      <c r="E1" s="2" t="s">
        <v>6</v>
      </c>
      <c r="F1" s="2" t="s">
        <v>7</v>
      </c>
      <c r="G1" s="2" t="s">
        <v>8</v>
      </c>
      <c r="H1" s="2" t="s">
        <v>9</v>
      </c>
      <c r="I1" s="2" t="s">
        <v>10</v>
      </c>
      <c r="J1" s="2" t="s">
        <v>12</v>
      </c>
      <c r="K1" s="2" t="s">
        <v>14</v>
      </c>
      <c r="L1" s="2" t="s">
        <v>16</v>
      </c>
      <c r="M1" s="2" t="s">
        <v>17</v>
      </c>
      <c r="N1" s="2" t="s">
        <v>19</v>
      </c>
      <c r="O1" s="2" t="s">
        <v>22</v>
      </c>
      <c r="P1" s="2" t="s">
        <v>24</v>
      </c>
      <c r="Q1" s="2" t="s">
        <v>13</v>
      </c>
      <c r="R1" s="2" t="s">
        <v>11</v>
      </c>
      <c r="S1" s="2" t="s">
        <v>26</v>
      </c>
      <c r="T1" s="11" t="s">
        <v>27</v>
      </c>
    </row>
    <row r="2">
      <c r="A2" s="9">
        <v>1.0</v>
      </c>
      <c r="B2" s="13" t="s">
        <v>30</v>
      </c>
      <c r="C2" s="13" t="s">
        <v>33</v>
      </c>
      <c r="D2" s="13" t="s">
        <v>34</v>
      </c>
      <c r="E2" s="13" t="s">
        <v>35</v>
      </c>
      <c r="F2" s="14">
        <v>46209.0</v>
      </c>
      <c r="G2" s="13" t="s">
        <v>38</v>
      </c>
      <c r="H2" s="13" t="s">
        <v>39</v>
      </c>
      <c r="I2" s="13" t="s">
        <v>41</v>
      </c>
      <c r="J2" s="13" t="s">
        <v>42</v>
      </c>
      <c r="K2" s="13" t="s">
        <v>43</v>
      </c>
      <c r="L2" s="16" t="s">
        <v>45</v>
      </c>
      <c r="M2" s="16" t="s">
        <v>46</v>
      </c>
      <c r="N2" s="13" t="s">
        <v>48</v>
      </c>
      <c r="O2" s="17"/>
      <c r="P2" s="18">
        <v>0.2</v>
      </c>
      <c r="Q2" s="9" t="s">
        <v>50</v>
      </c>
      <c r="R2" s="9" t="s">
        <v>51</v>
      </c>
      <c r="S2" s="19" t="s">
        <v>52</v>
      </c>
    </row>
    <row r="3">
      <c r="A3" s="9">
        <v>2.0</v>
      </c>
      <c r="B3" s="13" t="s">
        <v>53</v>
      </c>
      <c r="C3" s="20" t="s">
        <v>54</v>
      </c>
      <c r="D3" s="13" t="s">
        <v>34</v>
      </c>
      <c r="E3" s="13" t="s">
        <v>35</v>
      </c>
      <c r="F3" s="14">
        <v>46209.0</v>
      </c>
      <c r="G3" s="13" t="s">
        <v>55</v>
      </c>
      <c r="H3" s="13" t="s">
        <v>56</v>
      </c>
      <c r="I3" s="13" t="s">
        <v>57</v>
      </c>
      <c r="J3" s="17"/>
      <c r="K3" s="13" t="s">
        <v>58</v>
      </c>
      <c r="L3" s="17"/>
      <c r="M3" s="17"/>
      <c r="N3" s="17"/>
      <c r="O3" s="21" t="s">
        <v>59</v>
      </c>
      <c r="P3" s="18">
        <v>0.3</v>
      </c>
      <c r="Q3" s="9" t="s">
        <v>50</v>
      </c>
      <c r="R3" s="9" t="s">
        <v>51</v>
      </c>
      <c r="S3" s="20" t="s">
        <v>60</v>
      </c>
    </row>
    <row r="4">
      <c r="A4" s="9">
        <v>3.0</v>
      </c>
      <c r="B4" s="13" t="s">
        <v>61</v>
      </c>
      <c r="C4" s="13" t="s">
        <v>62</v>
      </c>
      <c r="D4" s="13" t="s">
        <v>34</v>
      </c>
      <c r="E4" s="13" t="s">
        <v>63</v>
      </c>
      <c r="F4" s="14">
        <v>46209.0</v>
      </c>
      <c r="G4" s="13" t="s">
        <v>64</v>
      </c>
      <c r="H4" s="13" t="s">
        <v>65</v>
      </c>
      <c r="I4" s="13" t="s">
        <v>57</v>
      </c>
      <c r="J4" s="17"/>
      <c r="K4" s="13" t="s">
        <v>66</v>
      </c>
      <c r="L4" s="17"/>
      <c r="M4" s="20" t="s">
        <v>67</v>
      </c>
      <c r="N4" s="13" t="s">
        <v>68</v>
      </c>
      <c r="O4" s="17"/>
      <c r="P4" s="22">
        <v>0.8</v>
      </c>
      <c r="Q4" s="9" t="s">
        <v>50</v>
      </c>
      <c r="R4" s="9" t="s">
        <v>51</v>
      </c>
      <c r="S4" s="20" t="s">
        <v>69</v>
      </c>
    </row>
    <row r="5">
      <c r="A5" s="9">
        <v>4.0</v>
      </c>
      <c r="B5" s="13" t="s">
        <v>70</v>
      </c>
      <c r="C5" s="13" t="s">
        <v>62</v>
      </c>
      <c r="D5" s="13" t="s">
        <v>34</v>
      </c>
      <c r="E5" s="13" t="s">
        <v>63</v>
      </c>
      <c r="F5" s="14">
        <v>46209.0</v>
      </c>
      <c r="G5" s="13" t="s">
        <v>71</v>
      </c>
      <c r="H5" s="13" t="s">
        <v>72</v>
      </c>
      <c r="I5" s="13" t="s">
        <v>57</v>
      </c>
      <c r="J5" s="17"/>
      <c r="K5" s="13" t="s">
        <v>66</v>
      </c>
      <c r="L5" s="17"/>
      <c r="M5" s="20" t="s">
        <v>67</v>
      </c>
      <c r="N5" s="13" t="s">
        <v>68</v>
      </c>
      <c r="O5" s="17"/>
      <c r="P5" s="22">
        <v>0.8</v>
      </c>
      <c r="Q5" s="9" t="s">
        <v>50</v>
      </c>
      <c r="R5" s="9" t="s">
        <v>51</v>
      </c>
      <c r="S5" s="20" t="s">
        <v>73</v>
      </c>
    </row>
    <row r="6">
      <c r="A6" s="9">
        <v>5.0</v>
      </c>
      <c r="B6" s="13" t="s">
        <v>74</v>
      </c>
      <c r="C6" s="13" t="s">
        <v>62</v>
      </c>
      <c r="D6" s="13" t="s">
        <v>34</v>
      </c>
      <c r="E6" s="13" t="s">
        <v>63</v>
      </c>
      <c r="F6" s="14">
        <v>46209.0</v>
      </c>
      <c r="G6" s="23" t="s">
        <v>75</v>
      </c>
      <c r="H6" s="13" t="s">
        <v>76</v>
      </c>
      <c r="I6" s="13" t="s">
        <v>77</v>
      </c>
      <c r="J6" s="13"/>
      <c r="K6" s="23" t="s">
        <v>78</v>
      </c>
      <c r="L6" s="23"/>
      <c r="M6" s="20" t="s">
        <v>67</v>
      </c>
      <c r="N6" s="13" t="s">
        <v>68</v>
      </c>
      <c r="O6" s="13"/>
      <c r="P6" s="18">
        <v>0.8</v>
      </c>
      <c r="Q6" s="9" t="s">
        <v>50</v>
      </c>
      <c r="R6" s="9" t="s">
        <v>51</v>
      </c>
      <c r="S6" s="20" t="s">
        <v>79</v>
      </c>
    </row>
    <row r="7">
      <c r="A7" s="9">
        <v>6.0</v>
      </c>
      <c r="B7" s="13" t="s">
        <v>80</v>
      </c>
      <c r="C7" s="13" t="s">
        <v>62</v>
      </c>
      <c r="D7" s="13" t="s">
        <v>34</v>
      </c>
      <c r="E7" s="13"/>
      <c r="F7" s="14">
        <v>46209.0</v>
      </c>
      <c r="G7" s="13" t="s">
        <v>81</v>
      </c>
      <c r="H7" s="13" t="s">
        <v>82</v>
      </c>
      <c r="I7" s="13" t="s">
        <v>57</v>
      </c>
      <c r="J7" s="13"/>
      <c r="K7" s="13" t="s">
        <v>78</v>
      </c>
      <c r="M7" s="20" t="s">
        <v>67</v>
      </c>
      <c r="N7" s="13" t="s">
        <v>83</v>
      </c>
      <c r="O7" s="13"/>
      <c r="P7" s="22">
        <v>0.8</v>
      </c>
      <c r="Q7" s="9" t="s">
        <v>50</v>
      </c>
      <c r="R7" s="9" t="s">
        <v>51</v>
      </c>
      <c r="S7" s="24" t="s">
        <v>84</v>
      </c>
    </row>
    <row r="8">
      <c r="A8" s="9">
        <v>7.0</v>
      </c>
      <c r="B8" s="13" t="s">
        <v>85</v>
      </c>
      <c r="C8" s="13" t="s">
        <v>86</v>
      </c>
      <c r="D8" s="13" t="s">
        <v>34</v>
      </c>
      <c r="E8" s="13"/>
      <c r="F8" s="14">
        <v>46209.0</v>
      </c>
      <c r="G8" s="13" t="s">
        <v>87</v>
      </c>
      <c r="H8" s="13" t="s">
        <v>88</v>
      </c>
      <c r="I8" s="13" t="s">
        <v>89</v>
      </c>
      <c r="J8" s="13"/>
      <c r="K8" s="13" t="s">
        <v>90</v>
      </c>
      <c r="L8" s="23">
        <v>2.7673286121E10</v>
      </c>
      <c r="M8" s="25" t="s">
        <v>91</v>
      </c>
      <c r="N8" s="13" t="s">
        <v>92</v>
      </c>
      <c r="O8" s="13"/>
      <c r="P8" s="18">
        <v>0.5</v>
      </c>
      <c r="Q8" s="9" t="s">
        <v>50</v>
      </c>
      <c r="R8" s="9" t="s">
        <v>51</v>
      </c>
      <c r="S8" s="20" t="s">
        <v>93</v>
      </c>
    </row>
    <row r="9">
      <c r="A9" s="9">
        <v>8.0</v>
      </c>
      <c r="B9" s="26" t="s">
        <v>94</v>
      </c>
      <c r="C9" s="26" t="s">
        <v>95</v>
      </c>
      <c r="D9" s="26" t="s">
        <v>96</v>
      </c>
      <c r="E9" s="26" t="s">
        <v>97</v>
      </c>
      <c r="F9" s="27">
        <v>46209.0</v>
      </c>
      <c r="G9" s="26" t="s">
        <v>98</v>
      </c>
      <c r="H9" s="26" t="s">
        <v>99</v>
      </c>
      <c r="I9" s="26" t="s">
        <v>100</v>
      </c>
      <c r="J9" s="26" t="s">
        <v>101</v>
      </c>
      <c r="K9" s="9" t="s">
        <v>102</v>
      </c>
      <c r="L9" s="28" t="s">
        <v>103</v>
      </c>
      <c r="M9" s="26" t="s">
        <v>104</v>
      </c>
      <c r="N9" s="26" t="s">
        <v>105</v>
      </c>
      <c r="O9" s="29"/>
      <c r="P9" s="29">
        <v>0.75</v>
      </c>
      <c r="Q9" s="9" t="s">
        <v>51</v>
      </c>
      <c r="R9" s="9" t="s">
        <v>106</v>
      </c>
      <c r="S9" s="25" t="s">
        <v>107</v>
      </c>
    </row>
    <row r="10">
      <c r="A10" s="9">
        <v>9.0</v>
      </c>
      <c r="B10" s="30" t="s">
        <v>108</v>
      </c>
      <c r="C10" s="30" t="s">
        <v>109</v>
      </c>
      <c r="D10" s="30" t="s">
        <v>96</v>
      </c>
      <c r="E10" s="30" t="s">
        <v>110</v>
      </c>
      <c r="F10" s="31">
        <v>46180.0</v>
      </c>
      <c r="G10" s="9" t="s">
        <v>111</v>
      </c>
      <c r="H10" s="9" t="s">
        <v>112</v>
      </c>
      <c r="I10" s="26"/>
      <c r="J10" s="9" t="s">
        <v>113</v>
      </c>
      <c r="K10" s="9" t="s">
        <v>114</v>
      </c>
      <c r="L10" s="30" t="s">
        <v>115</v>
      </c>
      <c r="M10" s="9" t="s">
        <v>116</v>
      </c>
      <c r="N10" s="9" t="s">
        <v>105</v>
      </c>
      <c r="O10" s="29"/>
      <c r="P10" s="32">
        <v>0.85</v>
      </c>
      <c r="Q10" s="9" t="s">
        <v>51</v>
      </c>
      <c r="R10" s="9" t="s">
        <v>106</v>
      </c>
      <c r="S10" s="25" t="s">
        <v>117</v>
      </c>
    </row>
    <row r="11">
      <c r="A11" s="9">
        <v>10.0</v>
      </c>
      <c r="B11" s="33" t="s">
        <v>118</v>
      </c>
      <c r="C11" s="34" t="s">
        <v>119</v>
      </c>
      <c r="D11" s="30" t="s">
        <v>96</v>
      </c>
      <c r="E11" s="30" t="s">
        <v>110</v>
      </c>
      <c r="F11" s="35">
        <v>46209.0</v>
      </c>
      <c r="H11" s="34" t="s">
        <v>120</v>
      </c>
      <c r="I11" s="34" t="s">
        <v>121</v>
      </c>
      <c r="J11" s="9" t="s">
        <v>113</v>
      </c>
      <c r="K11" s="9" t="s">
        <v>122</v>
      </c>
      <c r="L11" s="36" t="s">
        <v>123</v>
      </c>
      <c r="M11" s="9" t="s">
        <v>124</v>
      </c>
      <c r="N11" s="9" t="s">
        <v>125</v>
      </c>
      <c r="P11" s="37">
        <v>0.3</v>
      </c>
      <c r="Q11" s="9" t="s">
        <v>126</v>
      </c>
      <c r="R11" s="38" t="s">
        <v>127</v>
      </c>
      <c r="S11" s="36" t="s">
        <v>128</v>
      </c>
    </row>
    <row r="12">
      <c r="A12" s="9">
        <v>11.0</v>
      </c>
      <c r="B12" s="33" t="s">
        <v>129</v>
      </c>
      <c r="C12" s="39" t="s">
        <v>130</v>
      </c>
      <c r="D12" s="9" t="s">
        <v>131</v>
      </c>
      <c r="E12" s="26" t="s">
        <v>63</v>
      </c>
      <c r="F12" s="40">
        <v>46210.0</v>
      </c>
      <c r="G12" s="16" t="s">
        <v>132</v>
      </c>
      <c r="H12" s="16" t="s">
        <v>133</v>
      </c>
      <c r="I12" s="16" t="s">
        <v>57</v>
      </c>
      <c r="K12" s="9" t="s">
        <v>78</v>
      </c>
      <c r="L12" s="25" t="s">
        <v>134</v>
      </c>
      <c r="M12" s="9" t="s">
        <v>135</v>
      </c>
      <c r="N12" s="16" t="s">
        <v>136</v>
      </c>
      <c r="O12" s="9" t="s">
        <v>137</v>
      </c>
      <c r="P12" s="22">
        <v>0.5</v>
      </c>
      <c r="Q12" s="9" t="s">
        <v>47</v>
      </c>
      <c r="R12" s="38" t="s">
        <v>127</v>
      </c>
      <c r="S12" s="25" t="s">
        <v>138</v>
      </c>
    </row>
    <row r="13">
      <c r="A13" s="9">
        <v>12.0</v>
      </c>
      <c r="B13" s="41" t="s">
        <v>139</v>
      </c>
      <c r="C13" s="41" t="s">
        <v>140</v>
      </c>
      <c r="D13" s="9" t="s">
        <v>141</v>
      </c>
      <c r="E13" s="42" t="s">
        <v>63</v>
      </c>
      <c r="F13" s="35">
        <v>46209.0</v>
      </c>
      <c r="G13" s="42" t="s">
        <v>142</v>
      </c>
      <c r="H13" s="42" t="s">
        <v>143</v>
      </c>
      <c r="I13" s="42" t="s">
        <v>144</v>
      </c>
      <c r="K13" s="9" t="s">
        <v>145</v>
      </c>
      <c r="L13" s="42" t="s">
        <v>146</v>
      </c>
      <c r="N13" s="42" t="s">
        <v>147</v>
      </c>
      <c r="O13" s="9" t="s">
        <v>148</v>
      </c>
      <c r="P13" s="43">
        <v>0.6</v>
      </c>
      <c r="Q13" s="9" t="s">
        <v>149</v>
      </c>
      <c r="R13" s="38" t="s">
        <v>127</v>
      </c>
      <c r="S13" s="36" t="s">
        <v>150</v>
      </c>
    </row>
    <row r="14">
      <c r="A14" s="9">
        <v>13.0</v>
      </c>
      <c r="B14" s="41" t="s">
        <v>151</v>
      </c>
      <c r="C14" s="41" t="s">
        <v>152</v>
      </c>
      <c r="D14" s="9" t="s">
        <v>141</v>
      </c>
      <c r="E14" s="9" t="s">
        <v>110</v>
      </c>
      <c r="F14" s="44">
        <v>46210.0</v>
      </c>
      <c r="G14" s="41" t="s">
        <v>153</v>
      </c>
      <c r="H14" s="9" t="s">
        <v>154</v>
      </c>
      <c r="I14" s="41" t="s">
        <v>155</v>
      </c>
      <c r="K14" s="9" t="s">
        <v>156</v>
      </c>
      <c r="L14" s="41" t="s">
        <v>157</v>
      </c>
      <c r="N14" s="41" t="s">
        <v>158</v>
      </c>
      <c r="O14" s="9" t="s">
        <v>159</v>
      </c>
      <c r="P14" s="43">
        <v>0.6</v>
      </c>
      <c r="Q14" s="9" t="s">
        <v>149</v>
      </c>
      <c r="R14" s="38" t="s">
        <v>127</v>
      </c>
      <c r="S14" s="36" t="s">
        <v>160</v>
      </c>
    </row>
    <row r="15">
      <c r="A15" s="9">
        <v>14.0</v>
      </c>
      <c r="B15" s="45" t="s">
        <v>161</v>
      </c>
      <c r="C15" s="9" t="s">
        <v>162</v>
      </c>
      <c r="D15" s="9" t="s">
        <v>163</v>
      </c>
      <c r="E15" s="9" t="s">
        <v>164</v>
      </c>
      <c r="F15" s="46">
        <v>46210.0</v>
      </c>
      <c r="G15" s="9" t="s">
        <v>165</v>
      </c>
      <c r="H15" s="9" t="s">
        <v>166</v>
      </c>
      <c r="J15" s="9" t="s">
        <v>89</v>
      </c>
      <c r="K15" s="9" t="s">
        <v>78</v>
      </c>
      <c r="L15" s="41"/>
      <c r="N15" s="47" t="s">
        <v>167</v>
      </c>
      <c r="O15" s="9" t="s">
        <v>168</v>
      </c>
      <c r="P15" s="48">
        <v>0.8</v>
      </c>
      <c r="Q15" s="9" t="s">
        <v>169</v>
      </c>
      <c r="R15" s="38" t="s">
        <v>127</v>
      </c>
      <c r="S15" s="36" t="s">
        <v>170</v>
      </c>
    </row>
    <row r="16">
      <c r="A16" s="9">
        <v>15.0</v>
      </c>
      <c r="B16" s="49" t="s">
        <v>171</v>
      </c>
      <c r="C16" s="9" t="s">
        <v>172</v>
      </c>
      <c r="D16" s="9" t="s">
        <v>163</v>
      </c>
      <c r="E16" s="9" t="s">
        <v>164</v>
      </c>
      <c r="F16" s="50">
        <v>46210.0</v>
      </c>
      <c r="G16" s="9" t="s">
        <v>173</v>
      </c>
      <c r="H16" s="9" t="s">
        <v>174</v>
      </c>
      <c r="I16" s="9" t="s">
        <v>175</v>
      </c>
      <c r="K16" s="9" t="s">
        <v>176</v>
      </c>
      <c r="L16" s="51"/>
      <c r="M16" s="9" t="s">
        <v>177</v>
      </c>
      <c r="N16" s="9" t="s">
        <v>178</v>
      </c>
      <c r="O16" s="25" t="s">
        <v>179</v>
      </c>
      <c r="P16" s="48">
        <v>0.5</v>
      </c>
      <c r="Q16" s="9" t="s">
        <v>169</v>
      </c>
      <c r="R16" s="38" t="s">
        <v>127</v>
      </c>
      <c r="S16" s="25" t="s">
        <v>180</v>
      </c>
    </row>
    <row r="17">
      <c r="A17" s="9">
        <v>16.0</v>
      </c>
      <c r="B17" s="52" t="s">
        <v>181</v>
      </c>
      <c r="C17" s="9" t="s">
        <v>182</v>
      </c>
      <c r="D17" s="9" t="s">
        <v>141</v>
      </c>
      <c r="E17" s="9" t="s">
        <v>164</v>
      </c>
      <c r="F17" s="53">
        <v>46210.0</v>
      </c>
      <c r="H17" s="54" t="s">
        <v>183</v>
      </c>
      <c r="I17" s="9" t="s">
        <v>175</v>
      </c>
      <c r="K17" s="9" t="s">
        <v>43</v>
      </c>
      <c r="L17" s="9" t="s">
        <v>184</v>
      </c>
      <c r="N17" s="55"/>
      <c r="O17" s="25" t="s">
        <v>185</v>
      </c>
      <c r="P17" s="56">
        <v>0.2</v>
      </c>
      <c r="Q17" s="9" t="s">
        <v>169</v>
      </c>
      <c r="R17" s="38" t="s">
        <v>127</v>
      </c>
      <c r="S17" s="25" t="s">
        <v>186</v>
      </c>
    </row>
    <row r="18">
      <c r="A18" s="9">
        <v>17.0</v>
      </c>
      <c r="B18" s="45" t="s">
        <v>187</v>
      </c>
      <c r="C18" s="57" t="s">
        <v>188</v>
      </c>
      <c r="D18" s="45" t="s">
        <v>131</v>
      </c>
      <c r="E18" s="45" t="s">
        <v>164</v>
      </c>
      <c r="F18" s="9" t="s">
        <v>189</v>
      </c>
      <c r="G18" s="57" t="s">
        <v>190</v>
      </c>
      <c r="I18" s="57" t="s">
        <v>191</v>
      </c>
      <c r="M18" s="58" t="s">
        <v>192</v>
      </c>
      <c r="N18" s="16" t="s">
        <v>193</v>
      </c>
      <c r="P18" s="32">
        <v>0.3</v>
      </c>
      <c r="Q18" s="45" t="s">
        <v>194</v>
      </c>
      <c r="R18" s="45" t="s">
        <v>195</v>
      </c>
      <c r="S18" s="36" t="s">
        <v>196</v>
      </c>
    </row>
    <row r="19">
      <c r="A19" s="9">
        <v>18.0</v>
      </c>
      <c r="B19" s="59" t="s">
        <v>197</v>
      </c>
      <c r="C19" s="60" t="s">
        <v>198</v>
      </c>
      <c r="D19" s="61" t="s">
        <v>199</v>
      </c>
      <c r="E19" s="45" t="s">
        <v>200</v>
      </c>
      <c r="F19" s="53">
        <v>46212.0</v>
      </c>
      <c r="G19" s="62" t="s">
        <v>201</v>
      </c>
      <c r="H19" s="62" t="s">
        <v>202</v>
      </c>
      <c r="I19" s="62" t="s">
        <v>203</v>
      </c>
      <c r="L19" s="62" t="s">
        <v>204</v>
      </c>
      <c r="M19" s="25" t="s">
        <v>205</v>
      </c>
      <c r="N19" s="45" t="s">
        <v>199</v>
      </c>
      <c r="P19" s="63">
        <v>0.2</v>
      </c>
      <c r="Q19" s="45" t="s">
        <v>206</v>
      </c>
      <c r="R19" s="61" t="s">
        <v>195</v>
      </c>
      <c r="S19" s="64" t="s">
        <v>207</v>
      </c>
    </row>
    <row r="20">
      <c r="A20" s="9">
        <v>19.0</v>
      </c>
      <c r="B20" s="61" t="s">
        <v>208</v>
      </c>
      <c r="C20" s="60" t="s">
        <v>209</v>
      </c>
      <c r="D20" s="45" t="s">
        <v>199</v>
      </c>
      <c r="E20" s="45" t="s">
        <v>200</v>
      </c>
      <c r="F20" s="65">
        <v>46212.0</v>
      </c>
      <c r="G20" s="60" t="s">
        <v>210</v>
      </c>
      <c r="H20" s="60" t="s">
        <v>211</v>
      </c>
      <c r="I20" s="60" t="s">
        <v>212</v>
      </c>
      <c r="L20" s="66"/>
      <c r="M20" s="67" t="s">
        <v>213</v>
      </c>
      <c r="N20" s="60" t="s">
        <v>199</v>
      </c>
      <c r="O20" s="25" t="s">
        <v>214</v>
      </c>
      <c r="P20" s="63">
        <v>0.35</v>
      </c>
      <c r="Q20" s="45" t="s">
        <v>206</v>
      </c>
      <c r="R20" s="68" t="s">
        <v>195</v>
      </c>
      <c r="S20" s="69" t="s">
        <v>215</v>
      </c>
    </row>
    <row r="21">
      <c r="A21" s="9">
        <v>20.0</v>
      </c>
      <c r="B21" s="61" t="s">
        <v>216</v>
      </c>
      <c r="C21" s="60" t="s">
        <v>217</v>
      </c>
      <c r="D21" s="45" t="s">
        <v>199</v>
      </c>
      <c r="E21" s="45" t="s">
        <v>200</v>
      </c>
      <c r="F21" s="70">
        <v>46212.0</v>
      </c>
      <c r="G21" s="60" t="s">
        <v>218</v>
      </c>
      <c r="H21" s="60" t="s">
        <v>219</v>
      </c>
      <c r="I21" s="60" t="s">
        <v>220</v>
      </c>
      <c r="M21" s="67" t="s">
        <v>221</v>
      </c>
      <c r="N21" s="60" t="s">
        <v>199</v>
      </c>
      <c r="O21" s="69" t="s">
        <v>222</v>
      </c>
      <c r="P21" s="63">
        <v>0.3</v>
      </c>
      <c r="Q21" s="45" t="s">
        <v>206</v>
      </c>
      <c r="R21" s="61" t="s">
        <v>195</v>
      </c>
      <c r="S21" s="64" t="s">
        <v>223</v>
      </c>
    </row>
    <row r="22">
      <c r="A22" s="9">
        <v>21.0</v>
      </c>
      <c r="B22" s="71" t="s">
        <v>129</v>
      </c>
      <c r="C22" s="60" t="s">
        <v>224</v>
      </c>
      <c r="D22" s="45" t="s">
        <v>199</v>
      </c>
      <c r="E22" s="45" t="s">
        <v>225</v>
      </c>
      <c r="F22" s="72">
        <v>46212.0</v>
      </c>
      <c r="G22" s="60" t="s">
        <v>226</v>
      </c>
      <c r="H22" s="45" t="s">
        <v>227</v>
      </c>
      <c r="I22" s="60" t="s">
        <v>228</v>
      </c>
      <c r="K22" s="60" t="s">
        <v>229</v>
      </c>
      <c r="L22" s="60" t="s">
        <v>230</v>
      </c>
      <c r="M22" s="60" t="s">
        <v>231</v>
      </c>
      <c r="N22" s="45" t="s">
        <v>199</v>
      </c>
      <c r="O22" s="73"/>
      <c r="P22" s="63">
        <v>0.2</v>
      </c>
      <c r="Q22" s="45" t="s">
        <v>206</v>
      </c>
      <c r="R22" s="45" t="s">
        <v>195</v>
      </c>
      <c r="S22" s="25" t="s">
        <v>232</v>
      </c>
    </row>
    <row r="23">
      <c r="A23" s="9">
        <v>22.0</v>
      </c>
      <c r="B23" s="60" t="s">
        <v>233</v>
      </c>
      <c r="C23" s="60" t="s">
        <v>234</v>
      </c>
      <c r="D23" s="45" t="s">
        <v>235</v>
      </c>
      <c r="F23" s="74">
        <v>46212.0</v>
      </c>
      <c r="G23" s="60" t="s">
        <v>236</v>
      </c>
      <c r="H23" s="60" t="s">
        <v>237</v>
      </c>
      <c r="J23" s="60" t="s">
        <v>238</v>
      </c>
      <c r="K23" s="60" t="s">
        <v>239</v>
      </c>
      <c r="L23" s="60" t="s">
        <v>240</v>
      </c>
      <c r="M23" s="67" t="s">
        <v>241</v>
      </c>
      <c r="N23" s="60" t="s">
        <v>242</v>
      </c>
      <c r="P23" s="63">
        <v>0.25</v>
      </c>
      <c r="Q23" s="45" t="s">
        <v>206</v>
      </c>
      <c r="R23" s="68" t="s">
        <v>195</v>
      </c>
      <c r="S23" s="69" t="s">
        <v>243</v>
      </c>
    </row>
    <row r="24">
      <c r="A24" s="9">
        <v>23.0</v>
      </c>
      <c r="B24" s="9" t="s">
        <v>216</v>
      </c>
      <c r="C24" s="60" t="s">
        <v>244</v>
      </c>
      <c r="D24" s="9" t="s">
        <v>245</v>
      </c>
      <c r="E24" s="9" t="s">
        <v>246</v>
      </c>
      <c r="F24" s="74">
        <v>46210.0</v>
      </c>
      <c r="G24" s="60" t="s">
        <v>247</v>
      </c>
      <c r="H24" s="9" t="s">
        <v>248</v>
      </c>
      <c r="I24" s="36" t="s">
        <v>249</v>
      </c>
      <c r="J24" s="9" t="s">
        <v>250</v>
      </c>
      <c r="K24" s="60" t="s">
        <v>251</v>
      </c>
      <c r="M24" s="75" t="s">
        <v>252</v>
      </c>
      <c r="N24" s="60" t="s">
        <v>253</v>
      </c>
      <c r="O24" s="36" t="s">
        <v>254</v>
      </c>
      <c r="P24" s="32">
        <v>0.3</v>
      </c>
      <c r="Q24" s="9" t="s">
        <v>255</v>
      </c>
      <c r="R24" s="76" t="s">
        <v>255</v>
      </c>
      <c r="S24" s="77" t="s">
        <v>256</v>
      </c>
    </row>
    <row r="25">
      <c r="A25" s="9">
        <v>24.0</v>
      </c>
      <c r="B25" s="9" t="s">
        <v>257</v>
      </c>
      <c r="C25" s="9" t="s">
        <v>258</v>
      </c>
      <c r="D25" s="9" t="s">
        <v>259</v>
      </c>
      <c r="E25" s="9" t="s">
        <v>164</v>
      </c>
      <c r="F25" s="78">
        <v>46210.0</v>
      </c>
      <c r="G25" s="60" t="s">
        <v>113</v>
      </c>
      <c r="H25" s="9" t="s">
        <v>260</v>
      </c>
      <c r="I25" s="9" t="s">
        <v>261</v>
      </c>
      <c r="J25" s="9" t="s">
        <v>262</v>
      </c>
      <c r="K25" s="9" t="s">
        <v>239</v>
      </c>
      <c r="L25" s="9">
        <v>9.038608007E9</v>
      </c>
      <c r="M25" s="9" t="s">
        <v>263</v>
      </c>
      <c r="N25" s="9" t="s">
        <v>264</v>
      </c>
      <c r="O25" s="36" t="s">
        <v>265</v>
      </c>
      <c r="P25" s="32">
        <v>0.2</v>
      </c>
      <c r="Q25" s="9" t="s">
        <v>255</v>
      </c>
      <c r="R25" s="9" t="s">
        <v>255</v>
      </c>
      <c r="S25" s="36" t="s">
        <v>266</v>
      </c>
    </row>
    <row r="26">
      <c r="A26" s="9">
        <v>25.0</v>
      </c>
      <c r="B26" s="9" t="s">
        <v>161</v>
      </c>
      <c r="C26" s="9" t="s">
        <v>267</v>
      </c>
      <c r="D26" s="9" t="s">
        <v>34</v>
      </c>
      <c r="E26" s="9" t="s">
        <v>268</v>
      </c>
      <c r="F26" s="50">
        <v>46210.0</v>
      </c>
      <c r="G26" s="9" t="s">
        <v>269</v>
      </c>
      <c r="H26" s="9" t="s">
        <v>270</v>
      </c>
      <c r="I26" s="9" t="s">
        <v>271</v>
      </c>
      <c r="J26" s="9" t="s">
        <v>272</v>
      </c>
      <c r="K26" s="9" t="s">
        <v>273</v>
      </c>
      <c r="N26" s="9" t="s">
        <v>274</v>
      </c>
      <c r="O26" s="25" t="s">
        <v>275</v>
      </c>
      <c r="P26" s="32">
        <v>0.3</v>
      </c>
      <c r="Q26" s="9" t="s">
        <v>276</v>
      </c>
      <c r="R26" s="9" t="s">
        <v>106</v>
      </c>
      <c r="S26" s="25" t="s">
        <v>170</v>
      </c>
    </row>
    <row r="27">
      <c r="A27" s="9">
        <v>26.0</v>
      </c>
      <c r="B27" s="9" t="s">
        <v>277</v>
      </c>
      <c r="C27" s="9" t="s">
        <v>278</v>
      </c>
      <c r="D27" s="9" t="s">
        <v>259</v>
      </c>
      <c r="E27" s="9" t="s">
        <v>164</v>
      </c>
      <c r="F27" s="79">
        <v>46210.0</v>
      </c>
      <c r="G27" s="60" t="s">
        <v>279</v>
      </c>
      <c r="H27" s="9" t="s">
        <v>280</v>
      </c>
      <c r="I27" s="9" t="s">
        <v>89</v>
      </c>
      <c r="J27" s="9" t="s">
        <v>281</v>
      </c>
      <c r="K27" s="16" t="s">
        <v>282</v>
      </c>
      <c r="L27" s="9" t="s">
        <v>283</v>
      </c>
      <c r="M27" s="9" t="s">
        <v>284</v>
      </c>
      <c r="N27" s="9" t="s">
        <v>285</v>
      </c>
      <c r="O27" s="25" t="s">
        <v>286</v>
      </c>
      <c r="P27" s="32">
        <v>0.3</v>
      </c>
      <c r="Q27" s="9" t="s">
        <v>255</v>
      </c>
      <c r="R27" s="9" t="s">
        <v>255</v>
      </c>
      <c r="S27" s="19" t="s">
        <v>287</v>
      </c>
    </row>
    <row r="28" ht="42.0" customHeight="1">
      <c r="A28" s="9">
        <v>27.0</v>
      </c>
      <c r="B28" s="9" t="s">
        <v>288</v>
      </c>
      <c r="C28" s="9" t="s">
        <v>289</v>
      </c>
      <c r="D28" s="9" t="s">
        <v>259</v>
      </c>
      <c r="E28" s="9" t="s">
        <v>164</v>
      </c>
      <c r="F28" s="80">
        <v>46210.0</v>
      </c>
      <c r="G28" s="60" t="s">
        <v>290</v>
      </c>
      <c r="H28" s="9" t="s">
        <v>291</v>
      </c>
      <c r="I28" s="9" t="s">
        <v>292</v>
      </c>
      <c r="J28" s="9" t="s">
        <v>250</v>
      </c>
      <c r="K28" s="9" t="s">
        <v>293</v>
      </c>
      <c r="L28" s="9" t="s">
        <v>294</v>
      </c>
      <c r="M28" s="9" t="s">
        <v>295</v>
      </c>
      <c r="N28" s="9" t="s">
        <v>296</v>
      </c>
      <c r="O28" s="36" t="s">
        <v>297</v>
      </c>
      <c r="P28" s="32">
        <v>0.75</v>
      </c>
      <c r="Q28" s="9" t="s">
        <v>255</v>
      </c>
      <c r="R28" s="9" t="s">
        <v>255</v>
      </c>
      <c r="S28" s="81" t="s">
        <v>298</v>
      </c>
    </row>
    <row r="29">
      <c r="A29" s="9">
        <v>28.0</v>
      </c>
      <c r="B29" s="82" t="s">
        <v>171</v>
      </c>
      <c r="C29" s="9" t="s">
        <v>172</v>
      </c>
      <c r="D29" s="9" t="s">
        <v>34</v>
      </c>
      <c r="F29" s="78">
        <v>46212.0</v>
      </c>
      <c r="G29" s="9" t="s">
        <v>299</v>
      </c>
      <c r="H29" s="9" t="s">
        <v>300</v>
      </c>
      <c r="I29" s="9" t="s">
        <v>301</v>
      </c>
      <c r="K29" s="9" t="s">
        <v>302</v>
      </c>
      <c r="M29" s="36" t="s">
        <v>303</v>
      </c>
      <c r="N29" s="9" t="s">
        <v>304</v>
      </c>
      <c r="O29" s="25" t="s">
        <v>179</v>
      </c>
      <c r="P29" s="32">
        <v>0.75</v>
      </c>
      <c r="Q29" s="9" t="s">
        <v>276</v>
      </c>
      <c r="R29" s="9" t="s">
        <v>305</v>
      </c>
      <c r="S29" s="25" t="s">
        <v>180</v>
      </c>
    </row>
    <row r="30">
      <c r="A30" s="9">
        <v>29.0</v>
      </c>
      <c r="B30" s="9" t="s">
        <v>181</v>
      </c>
      <c r="C30" s="9" t="s">
        <v>306</v>
      </c>
      <c r="D30" s="9" t="s">
        <v>307</v>
      </c>
      <c r="E30" s="9" t="s">
        <v>308</v>
      </c>
      <c r="F30" s="78">
        <v>46212.0</v>
      </c>
      <c r="G30" s="9" t="s">
        <v>309</v>
      </c>
      <c r="H30" s="9" t="s">
        <v>310</v>
      </c>
      <c r="I30" s="9" t="s">
        <v>311</v>
      </c>
      <c r="J30" s="9" t="s">
        <v>312</v>
      </c>
      <c r="K30" s="9" t="s">
        <v>313</v>
      </c>
      <c r="L30" s="9" t="s">
        <v>314</v>
      </c>
      <c r="M30" s="9" t="s">
        <v>312</v>
      </c>
      <c r="N30" s="9" t="s">
        <v>315</v>
      </c>
      <c r="O30" s="25" t="s">
        <v>316</v>
      </c>
      <c r="P30" s="32">
        <v>0.5</v>
      </c>
      <c r="Q30" s="9" t="s">
        <v>276</v>
      </c>
      <c r="R30" s="9" t="s">
        <v>305</v>
      </c>
      <c r="S30" s="25" t="s">
        <v>186</v>
      </c>
    </row>
    <row r="31">
      <c r="A31" s="9">
        <v>30.0</v>
      </c>
      <c r="B31" s="9" t="s">
        <v>317</v>
      </c>
      <c r="C31" s="9" t="s">
        <v>318</v>
      </c>
      <c r="D31" s="9" t="s">
        <v>319</v>
      </c>
      <c r="E31" s="9" t="s">
        <v>320</v>
      </c>
      <c r="F31" s="80">
        <v>46209.0</v>
      </c>
      <c r="G31" s="9" t="s">
        <v>321</v>
      </c>
      <c r="H31" s="9" t="s">
        <v>322</v>
      </c>
      <c r="I31" s="9" t="s">
        <v>323</v>
      </c>
      <c r="J31" s="9" t="s">
        <v>312</v>
      </c>
      <c r="K31" s="9" t="s">
        <v>90</v>
      </c>
      <c r="L31" s="9" t="s">
        <v>324</v>
      </c>
      <c r="M31" s="9" t="s">
        <v>325</v>
      </c>
      <c r="N31" s="9" t="s">
        <v>326</v>
      </c>
      <c r="O31" s="36" t="s">
        <v>327</v>
      </c>
      <c r="P31" s="32">
        <v>0.6</v>
      </c>
      <c r="Q31" s="9" t="s">
        <v>126</v>
      </c>
      <c r="R31" s="9" t="s">
        <v>255</v>
      </c>
      <c r="S31" s="36" t="s">
        <v>328</v>
      </c>
    </row>
    <row r="32">
      <c r="A32" s="9">
        <v>31.0</v>
      </c>
      <c r="B32" s="83" t="s">
        <v>329</v>
      </c>
      <c r="C32" s="9" t="s">
        <v>318</v>
      </c>
      <c r="D32" s="9" t="s">
        <v>330</v>
      </c>
      <c r="E32" s="9" t="s">
        <v>320</v>
      </c>
      <c r="F32" s="78">
        <v>46209.0</v>
      </c>
      <c r="G32" s="9" t="s">
        <v>321</v>
      </c>
      <c r="H32" s="9" t="s">
        <v>331</v>
      </c>
      <c r="I32" s="9" t="s">
        <v>323</v>
      </c>
      <c r="J32" s="9" t="s">
        <v>250</v>
      </c>
      <c r="K32" s="9" t="s">
        <v>90</v>
      </c>
      <c r="L32" s="9" t="s">
        <v>250</v>
      </c>
      <c r="M32" s="9" t="s">
        <v>250</v>
      </c>
      <c r="N32" s="34" t="s">
        <v>332</v>
      </c>
      <c r="O32" s="25" t="s">
        <v>327</v>
      </c>
      <c r="P32" s="32">
        <v>0.6</v>
      </c>
      <c r="Q32" s="9" t="s">
        <v>126</v>
      </c>
      <c r="R32" s="9" t="s">
        <v>255</v>
      </c>
      <c r="S32" s="36" t="s">
        <v>333</v>
      </c>
    </row>
    <row r="33">
      <c r="A33" s="9">
        <v>32.0</v>
      </c>
      <c r="B33" s="9" t="s">
        <v>329</v>
      </c>
      <c r="C33" s="9" t="s">
        <v>318</v>
      </c>
      <c r="D33" s="9" t="s">
        <v>334</v>
      </c>
      <c r="E33" s="9" t="s">
        <v>320</v>
      </c>
      <c r="F33" s="78">
        <v>46209.0</v>
      </c>
      <c r="G33" s="9" t="s">
        <v>321</v>
      </c>
      <c r="H33" s="9" t="s">
        <v>335</v>
      </c>
      <c r="I33" s="9" t="s">
        <v>323</v>
      </c>
      <c r="J33" s="9" t="s">
        <v>250</v>
      </c>
      <c r="K33" s="9" t="s">
        <v>90</v>
      </c>
      <c r="L33" s="9" t="s">
        <v>250</v>
      </c>
      <c r="M33" s="9" t="s">
        <v>250</v>
      </c>
      <c r="N33" s="9" t="s">
        <v>336</v>
      </c>
      <c r="O33" s="36" t="s">
        <v>327</v>
      </c>
      <c r="P33" s="32">
        <v>0.65</v>
      </c>
      <c r="Q33" s="9" t="s">
        <v>126</v>
      </c>
      <c r="R33" s="9" t="s">
        <v>255</v>
      </c>
      <c r="S33" s="36" t="s">
        <v>337</v>
      </c>
    </row>
    <row r="34">
      <c r="A34" s="9">
        <v>33.0</v>
      </c>
      <c r="B34" s="9" t="s">
        <v>329</v>
      </c>
      <c r="C34" s="9" t="s">
        <v>318</v>
      </c>
      <c r="D34" s="9" t="s">
        <v>338</v>
      </c>
      <c r="E34" s="9" t="s">
        <v>320</v>
      </c>
      <c r="F34" s="78">
        <v>46209.0</v>
      </c>
      <c r="G34" s="9" t="s">
        <v>321</v>
      </c>
      <c r="H34" s="9" t="s">
        <v>339</v>
      </c>
      <c r="I34" s="9" t="s">
        <v>323</v>
      </c>
      <c r="J34" s="9" t="s">
        <v>250</v>
      </c>
      <c r="K34" s="9" t="s">
        <v>90</v>
      </c>
      <c r="L34" s="9" t="s">
        <v>250</v>
      </c>
      <c r="M34" s="9" t="s">
        <v>250</v>
      </c>
      <c r="N34" s="84" t="s">
        <v>340</v>
      </c>
      <c r="O34" s="25" t="s">
        <v>327</v>
      </c>
      <c r="P34" s="32">
        <v>0.55</v>
      </c>
      <c r="Q34" s="9" t="s">
        <v>126</v>
      </c>
      <c r="R34" s="9" t="s">
        <v>255</v>
      </c>
      <c r="S34" s="36" t="s">
        <v>341</v>
      </c>
    </row>
    <row r="35">
      <c r="A35" s="9">
        <v>34.0</v>
      </c>
      <c r="B35" s="85" t="s">
        <v>342</v>
      </c>
      <c r="C35" s="9" t="s">
        <v>343</v>
      </c>
      <c r="D35" s="9" t="s">
        <v>131</v>
      </c>
      <c r="E35" s="9" t="s">
        <v>63</v>
      </c>
      <c r="F35" s="78">
        <v>46209.0</v>
      </c>
      <c r="G35" s="9" t="s">
        <v>344</v>
      </c>
      <c r="H35" s="9" t="s">
        <v>345</v>
      </c>
      <c r="I35" s="86" t="s">
        <v>346</v>
      </c>
      <c r="J35" s="9" t="s">
        <v>250</v>
      </c>
      <c r="K35" s="9" t="s">
        <v>347</v>
      </c>
      <c r="L35" s="9" t="s">
        <v>250</v>
      </c>
      <c r="M35" s="9" t="s">
        <v>250</v>
      </c>
      <c r="N35" s="85" t="s">
        <v>348</v>
      </c>
      <c r="O35" s="25" t="s">
        <v>349</v>
      </c>
      <c r="P35" s="32">
        <v>0.75</v>
      </c>
      <c r="Q35" s="9" t="s">
        <v>126</v>
      </c>
      <c r="R35" s="9" t="s">
        <v>255</v>
      </c>
      <c r="S35" s="36" t="s">
        <v>350</v>
      </c>
    </row>
    <row r="36">
      <c r="A36" s="9">
        <v>35.0</v>
      </c>
      <c r="B36" s="9" t="s">
        <v>351</v>
      </c>
      <c r="C36" s="9" t="s">
        <v>343</v>
      </c>
      <c r="D36" s="9" t="s">
        <v>131</v>
      </c>
      <c r="E36" s="9" t="s">
        <v>63</v>
      </c>
      <c r="F36" s="78">
        <v>46209.0</v>
      </c>
      <c r="G36" s="9" t="s">
        <v>352</v>
      </c>
      <c r="H36" s="9" t="s">
        <v>353</v>
      </c>
      <c r="I36" s="36" t="s">
        <v>354</v>
      </c>
      <c r="J36" s="9" t="s">
        <v>250</v>
      </c>
      <c r="K36" s="9" t="s">
        <v>347</v>
      </c>
      <c r="L36" s="9" t="s">
        <v>250</v>
      </c>
      <c r="M36" s="9" t="s">
        <v>250</v>
      </c>
      <c r="N36" s="9" t="s">
        <v>348</v>
      </c>
      <c r="O36" s="36" t="s">
        <v>349</v>
      </c>
      <c r="P36" s="32">
        <v>0.75</v>
      </c>
      <c r="Q36" s="9" t="s">
        <v>126</v>
      </c>
      <c r="R36" s="9" t="s">
        <v>255</v>
      </c>
      <c r="S36" s="36" t="s">
        <v>355</v>
      </c>
    </row>
    <row r="37">
      <c r="A37" s="9">
        <v>36.0</v>
      </c>
      <c r="B37" s="9" t="s">
        <v>356</v>
      </c>
      <c r="C37" s="9" t="s">
        <v>343</v>
      </c>
      <c r="D37" s="9" t="s">
        <v>131</v>
      </c>
      <c r="E37" s="9" t="s">
        <v>63</v>
      </c>
      <c r="F37" s="78">
        <v>46209.0</v>
      </c>
      <c r="G37" s="9" t="s">
        <v>357</v>
      </c>
      <c r="H37" s="87" t="s">
        <v>358</v>
      </c>
      <c r="I37" s="9" t="s">
        <v>359</v>
      </c>
      <c r="J37" s="9" t="s">
        <v>250</v>
      </c>
      <c r="K37" s="9" t="s">
        <v>347</v>
      </c>
      <c r="L37" s="9" t="s">
        <v>250</v>
      </c>
      <c r="M37" s="9" t="s">
        <v>250</v>
      </c>
      <c r="N37" s="9" t="s">
        <v>348</v>
      </c>
      <c r="O37" s="25" t="s">
        <v>349</v>
      </c>
      <c r="P37" s="32">
        <v>0.8</v>
      </c>
      <c r="Q37" s="9" t="s">
        <v>126</v>
      </c>
      <c r="R37" s="9" t="s">
        <v>255</v>
      </c>
      <c r="S37" s="36" t="s">
        <v>360</v>
      </c>
    </row>
    <row r="38">
      <c r="A38" s="9">
        <v>37.0</v>
      </c>
      <c r="B38" s="9" t="s">
        <v>257</v>
      </c>
      <c r="C38" s="9" t="s">
        <v>361</v>
      </c>
      <c r="D38" s="9" t="s">
        <v>362</v>
      </c>
      <c r="E38" s="9" t="s">
        <v>363</v>
      </c>
      <c r="F38" s="78">
        <v>46209.0</v>
      </c>
      <c r="G38" s="9" t="s">
        <v>364</v>
      </c>
      <c r="H38" s="87" t="s">
        <v>365</v>
      </c>
      <c r="I38" s="9" t="s">
        <v>366</v>
      </c>
      <c r="J38" s="9" t="s">
        <v>250</v>
      </c>
      <c r="K38" s="9" t="s">
        <v>367</v>
      </c>
      <c r="L38" s="9" t="s">
        <v>250</v>
      </c>
      <c r="M38" s="9" t="s">
        <v>250</v>
      </c>
      <c r="N38" s="9" t="s">
        <v>368</v>
      </c>
      <c r="O38" s="36" t="s">
        <v>369</v>
      </c>
      <c r="P38" s="32">
        <v>0.7</v>
      </c>
      <c r="Q38" s="9" t="s">
        <v>126</v>
      </c>
      <c r="R38" s="9" t="s">
        <v>370</v>
      </c>
      <c r="S38" s="36" t="s">
        <v>371</v>
      </c>
    </row>
    <row r="39">
      <c r="A39" s="9">
        <v>38.0</v>
      </c>
      <c r="B39" s="9" t="s">
        <v>372</v>
      </c>
      <c r="C39" s="9" t="s">
        <v>373</v>
      </c>
      <c r="D39" s="9" t="s">
        <v>245</v>
      </c>
      <c r="E39" s="9" t="s">
        <v>363</v>
      </c>
      <c r="F39" s="78">
        <v>46209.0</v>
      </c>
      <c r="G39" s="71" t="s">
        <v>374</v>
      </c>
      <c r="H39" s="87" t="s">
        <v>375</v>
      </c>
      <c r="I39" s="9" t="s">
        <v>376</v>
      </c>
      <c r="J39" s="88" t="s">
        <v>377</v>
      </c>
      <c r="K39" s="9" t="s">
        <v>378</v>
      </c>
      <c r="L39" s="9" t="s">
        <v>379</v>
      </c>
      <c r="M39" s="9" t="s">
        <v>380</v>
      </c>
      <c r="N39" s="9" t="s">
        <v>381</v>
      </c>
      <c r="O39" s="9"/>
      <c r="P39" s="32">
        <v>0.7</v>
      </c>
      <c r="Q39" s="9" t="s">
        <v>382</v>
      </c>
      <c r="R39" s="9" t="s">
        <v>383</v>
      </c>
      <c r="S39" s="36" t="s">
        <v>384</v>
      </c>
    </row>
    <row r="40">
      <c r="A40" s="9">
        <v>39.0</v>
      </c>
      <c r="B40" s="9" t="s">
        <v>385</v>
      </c>
      <c r="C40" s="9" t="s">
        <v>386</v>
      </c>
      <c r="D40" s="9" t="s">
        <v>387</v>
      </c>
      <c r="E40" s="9" t="s">
        <v>388</v>
      </c>
      <c r="F40" s="78">
        <v>46210.0</v>
      </c>
      <c r="G40" s="9" t="s">
        <v>389</v>
      </c>
      <c r="H40" s="87" t="s">
        <v>390</v>
      </c>
      <c r="I40" s="9" t="s">
        <v>391</v>
      </c>
      <c r="J40" s="9" t="s">
        <v>392</v>
      </c>
      <c r="K40" s="9" t="s">
        <v>393</v>
      </c>
      <c r="L40" s="42" t="s">
        <v>394</v>
      </c>
      <c r="M40" s="9" t="s">
        <v>395</v>
      </c>
      <c r="N40" s="9" t="s">
        <v>396</v>
      </c>
      <c r="P40" s="32">
        <v>0.85</v>
      </c>
      <c r="Q40" s="9" t="s">
        <v>397</v>
      </c>
      <c r="R40" s="9" t="s">
        <v>383</v>
      </c>
      <c r="S40" s="36" t="s">
        <v>398</v>
      </c>
    </row>
    <row r="41">
      <c r="A41" s="9">
        <v>40.0</v>
      </c>
      <c r="B41" s="13" t="s">
        <v>399</v>
      </c>
      <c r="C41" s="13" t="s">
        <v>400</v>
      </c>
      <c r="D41" s="13" t="s">
        <v>131</v>
      </c>
      <c r="E41" s="13" t="s">
        <v>164</v>
      </c>
      <c r="F41" s="89">
        <v>46209.0</v>
      </c>
      <c r="G41" s="13" t="s">
        <v>401</v>
      </c>
      <c r="H41" s="13" t="s">
        <v>402</v>
      </c>
      <c r="I41" s="13" t="s">
        <v>403</v>
      </c>
      <c r="J41" s="13" t="s">
        <v>404</v>
      </c>
      <c r="K41" s="13" t="s">
        <v>378</v>
      </c>
      <c r="L41" s="90">
        <f t="shared" ref="L41:L42" si="1">+2348160869389</f>
        <v>2348160869389</v>
      </c>
      <c r="M41" s="13" t="s">
        <v>405</v>
      </c>
      <c r="N41" s="13" t="s">
        <v>406</v>
      </c>
      <c r="O41" s="90"/>
      <c r="P41" s="18">
        <v>0.75</v>
      </c>
      <c r="Q41" s="9" t="s">
        <v>382</v>
      </c>
      <c r="R41" s="9" t="s">
        <v>397</v>
      </c>
      <c r="S41" s="20" t="s">
        <v>384</v>
      </c>
    </row>
    <row r="42">
      <c r="A42" s="9">
        <v>41.0</v>
      </c>
      <c r="B42" s="13" t="s">
        <v>407</v>
      </c>
      <c r="C42" s="13" t="s">
        <v>400</v>
      </c>
      <c r="D42" s="13" t="s">
        <v>131</v>
      </c>
      <c r="E42" s="13" t="s">
        <v>164</v>
      </c>
      <c r="F42" s="89">
        <v>46209.0</v>
      </c>
      <c r="G42" s="13" t="s">
        <v>408</v>
      </c>
      <c r="H42" s="13" t="s">
        <v>409</v>
      </c>
      <c r="I42" s="13" t="s">
        <v>410</v>
      </c>
      <c r="J42" s="13" t="s">
        <v>411</v>
      </c>
      <c r="K42" s="13" t="s">
        <v>378</v>
      </c>
      <c r="L42" s="90">
        <f t="shared" si="1"/>
        <v>2348160869389</v>
      </c>
      <c r="M42" s="13" t="s">
        <v>405</v>
      </c>
      <c r="N42" s="13" t="s">
        <v>412</v>
      </c>
      <c r="O42" s="90"/>
      <c r="P42" s="18">
        <v>0.7</v>
      </c>
      <c r="Q42" s="9" t="s">
        <v>382</v>
      </c>
      <c r="R42" s="9" t="s">
        <v>397</v>
      </c>
      <c r="S42" s="20" t="s">
        <v>413</v>
      </c>
    </row>
    <row r="43">
      <c r="A43" s="9">
        <v>42.0</v>
      </c>
      <c r="B43" s="91" t="s">
        <v>414</v>
      </c>
      <c r="C43" s="91" t="s">
        <v>415</v>
      </c>
      <c r="D43" s="91" t="s">
        <v>416</v>
      </c>
      <c r="E43" s="91" t="s">
        <v>363</v>
      </c>
      <c r="F43" s="92">
        <v>46209.0</v>
      </c>
      <c r="G43" s="91" t="s">
        <v>417</v>
      </c>
      <c r="H43" s="91" t="s">
        <v>418</v>
      </c>
      <c r="I43" s="91" t="s">
        <v>419</v>
      </c>
      <c r="J43" s="93"/>
      <c r="K43" s="91" t="s">
        <v>420</v>
      </c>
      <c r="L43" s="91" t="s">
        <v>421</v>
      </c>
      <c r="M43" s="91" t="s">
        <v>422</v>
      </c>
      <c r="N43" s="91" t="s">
        <v>423</v>
      </c>
      <c r="O43" s="91"/>
      <c r="P43" s="94">
        <v>0.5</v>
      </c>
      <c r="Q43" s="9" t="s">
        <v>382</v>
      </c>
      <c r="R43" s="9" t="s">
        <v>397</v>
      </c>
      <c r="S43" s="21" t="s">
        <v>424</v>
      </c>
    </row>
    <row r="44">
      <c r="A44" s="9">
        <v>43.0</v>
      </c>
      <c r="B44" s="91" t="s">
        <v>425</v>
      </c>
      <c r="C44" s="91" t="s">
        <v>426</v>
      </c>
      <c r="D44" s="91" t="s">
        <v>427</v>
      </c>
      <c r="E44" s="91" t="s">
        <v>363</v>
      </c>
      <c r="F44" s="92">
        <v>46209.0</v>
      </c>
      <c r="G44" s="91" t="s">
        <v>428</v>
      </c>
      <c r="H44" s="91" t="s">
        <v>429</v>
      </c>
      <c r="I44" s="91" t="s">
        <v>419</v>
      </c>
      <c r="J44" s="95"/>
      <c r="K44" s="95"/>
      <c r="L44" s="91" t="s">
        <v>430</v>
      </c>
      <c r="M44" s="91" t="s">
        <v>431</v>
      </c>
      <c r="N44" s="91" t="s">
        <v>432</v>
      </c>
      <c r="O44" s="91"/>
      <c r="P44" s="94">
        <v>0.6</v>
      </c>
      <c r="Q44" s="9" t="s">
        <v>382</v>
      </c>
      <c r="R44" s="9" t="s">
        <v>397</v>
      </c>
      <c r="S44" s="96" t="s">
        <v>433</v>
      </c>
    </row>
    <row r="45">
      <c r="A45" s="9">
        <v>44.0</v>
      </c>
      <c r="B45" s="91" t="s">
        <v>434</v>
      </c>
      <c r="C45" s="91" t="s">
        <v>426</v>
      </c>
      <c r="D45" s="91" t="s">
        <v>330</v>
      </c>
      <c r="E45" s="91" t="s">
        <v>363</v>
      </c>
      <c r="F45" s="92">
        <v>46209.0</v>
      </c>
      <c r="G45" s="91" t="s">
        <v>428</v>
      </c>
      <c r="H45" s="91" t="s">
        <v>429</v>
      </c>
      <c r="I45" s="91" t="s">
        <v>419</v>
      </c>
      <c r="J45" s="95"/>
      <c r="K45" s="95"/>
      <c r="L45" s="91" t="s">
        <v>435</v>
      </c>
      <c r="M45" s="91" t="s">
        <v>436</v>
      </c>
      <c r="N45" s="95"/>
      <c r="O45" s="95"/>
      <c r="P45" s="94">
        <v>0.5</v>
      </c>
      <c r="Q45" s="9" t="s">
        <v>382</v>
      </c>
      <c r="R45" s="9" t="s">
        <v>397</v>
      </c>
      <c r="S45" s="96" t="s">
        <v>437</v>
      </c>
    </row>
    <row r="46">
      <c r="A46" s="9">
        <v>45.0</v>
      </c>
      <c r="B46" s="91" t="s">
        <v>438</v>
      </c>
      <c r="C46" s="91" t="s">
        <v>426</v>
      </c>
      <c r="D46" s="91" t="s">
        <v>131</v>
      </c>
      <c r="E46" s="91" t="s">
        <v>363</v>
      </c>
      <c r="F46" s="92">
        <v>46209.0</v>
      </c>
      <c r="G46" s="91" t="s">
        <v>428</v>
      </c>
      <c r="H46" s="91" t="s">
        <v>429</v>
      </c>
      <c r="I46" s="91" t="s">
        <v>419</v>
      </c>
      <c r="J46" s="95"/>
      <c r="K46" s="95"/>
      <c r="L46" s="91" t="s">
        <v>435</v>
      </c>
      <c r="M46" s="91" t="s">
        <v>436</v>
      </c>
      <c r="N46" s="95"/>
      <c r="O46" s="95"/>
      <c r="P46" s="94">
        <v>0.5</v>
      </c>
      <c r="Q46" s="9" t="s">
        <v>382</v>
      </c>
      <c r="R46" s="9" t="s">
        <v>397</v>
      </c>
      <c r="S46" s="96" t="s">
        <v>439</v>
      </c>
    </row>
    <row r="47">
      <c r="A47" s="9">
        <v>46.0</v>
      </c>
      <c r="B47" s="91" t="s">
        <v>440</v>
      </c>
      <c r="C47" s="91" t="s">
        <v>441</v>
      </c>
      <c r="D47" s="97" t="s">
        <v>442</v>
      </c>
      <c r="E47" s="91" t="s">
        <v>363</v>
      </c>
      <c r="F47" s="92">
        <v>46209.0</v>
      </c>
      <c r="G47" s="91" t="s">
        <v>443</v>
      </c>
      <c r="H47" s="91" t="s">
        <v>444</v>
      </c>
      <c r="I47" s="95"/>
      <c r="J47" s="95"/>
      <c r="K47" s="91" t="s">
        <v>445</v>
      </c>
      <c r="L47" s="95"/>
      <c r="M47" s="95"/>
      <c r="N47" s="95"/>
      <c r="O47" s="91" t="s">
        <v>446</v>
      </c>
      <c r="P47" s="94">
        <v>0.7</v>
      </c>
      <c r="Q47" s="9" t="s">
        <v>382</v>
      </c>
      <c r="R47" s="9" t="s">
        <v>397</v>
      </c>
      <c r="S47" s="96" t="s">
        <v>447</v>
      </c>
    </row>
    <row r="48">
      <c r="A48" s="9">
        <v>47.0</v>
      </c>
      <c r="B48" s="91" t="s">
        <v>288</v>
      </c>
      <c r="C48" s="98" t="s">
        <v>448</v>
      </c>
      <c r="D48" s="91" t="s">
        <v>34</v>
      </c>
      <c r="E48" s="91"/>
      <c r="F48" s="92">
        <v>46209.0</v>
      </c>
      <c r="G48" s="91" t="s">
        <v>449</v>
      </c>
      <c r="H48" s="91" t="s">
        <v>450</v>
      </c>
      <c r="I48" s="91" t="s">
        <v>144</v>
      </c>
      <c r="J48" s="95"/>
      <c r="K48" s="95"/>
      <c r="L48" s="91"/>
      <c r="M48" s="91" t="s">
        <v>451</v>
      </c>
      <c r="N48" s="91"/>
      <c r="O48" s="95"/>
      <c r="P48" s="94">
        <v>0.85</v>
      </c>
      <c r="Q48" s="9" t="s">
        <v>382</v>
      </c>
      <c r="R48" s="9" t="s">
        <v>397</v>
      </c>
      <c r="S48" s="21" t="s">
        <v>452</v>
      </c>
    </row>
    <row r="49">
      <c r="A49" s="9">
        <v>48.0</v>
      </c>
      <c r="B49" s="9" t="s">
        <v>453</v>
      </c>
      <c r="C49" s="9" t="s">
        <v>454</v>
      </c>
      <c r="D49" s="9" t="s">
        <v>455</v>
      </c>
      <c r="E49" s="9" t="s">
        <v>308</v>
      </c>
      <c r="F49" s="78">
        <v>46212.0</v>
      </c>
      <c r="G49" s="9" t="s">
        <v>456</v>
      </c>
      <c r="H49" s="9" t="s">
        <v>457</v>
      </c>
      <c r="I49" s="9" t="s">
        <v>458</v>
      </c>
      <c r="J49" s="9" t="s">
        <v>459</v>
      </c>
      <c r="K49" s="9" t="s">
        <v>239</v>
      </c>
      <c r="L49" s="9">
        <v>2.54733601976E11</v>
      </c>
      <c r="M49" s="9" t="s">
        <v>250</v>
      </c>
      <c r="N49" s="9" t="s">
        <v>460</v>
      </c>
      <c r="O49" s="25" t="s">
        <v>461</v>
      </c>
      <c r="P49" s="32">
        <v>0.55</v>
      </c>
      <c r="Q49" s="9" t="s">
        <v>206</v>
      </c>
      <c r="R49" s="9" t="s">
        <v>462</v>
      </c>
      <c r="S49" s="25" t="s">
        <v>463</v>
      </c>
    </row>
    <row r="50">
      <c r="A50" s="9">
        <v>49.0</v>
      </c>
      <c r="B50" s="9" t="s">
        <v>464</v>
      </c>
      <c r="C50" s="42" t="s">
        <v>465</v>
      </c>
      <c r="D50" s="9" t="s">
        <v>131</v>
      </c>
      <c r="E50" s="9" t="s">
        <v>363</v>
      </c>
      <c r="F50" s="78">
        <v>46213.0</v>
      </c>
      <c r="G50" s="9" t="s">
        <v>466</v>
      </c>
      <c r="H50" s="9" t="s">
        <v>467</v>
      </c>
      <c r="I50" s="9" t="s">
        <v>250</v>
      </c>
      <c r="J50" s="9" t="s">
        <v>272</v>
      </c>
      <c r="K50" s="9" t="s">
        <v>468</v>
      </c>
      <c r="L50" s="9" t="s">
        <v>250</v>
      </c>
      <c r="M50" s="9" t="s">
        <v>469</v>
      </c>
      <c r="N50" s="9" t="s">
        <v>470</v>
      </c>
      <c r="O50" s="9" t="s">
        <v>250</v>
      </c>
      <c r="P50" s="32">
        <v>0.7</v>
      </c>
      <c r="Q50" s="9" t="s">
        <v>471</v>
      </c>
      <c r="R50" s="9" t="s">
        <v>462</v>
      </c>
      <c r="S50" s="25" t="s">
        <v>472</v>
      </c>
    </row>
    <row r="51">
      <c r="A51" s="9">
        <v>50.0</v>
      </c>
      <c r="B51" s="9" t="s">
        <v>473</v>
      </c>
      <c r="C51" s="99" t="s">
        <v>474</v>
      </c>
      <c r="D51" s="9" t="s">
        <v>131</v>
      </c>
      <c r="E51" s="9" t="s">
        <v>380</v>
      </c>
      <c r="F51" s="78">
        <v>46212.0</v>
      </c>
      <c r="G51" s="100" t="s">
        <v>475</v>
      </c>
      <c r="H51" s="9" t="s">
        <v>476</v>
      </c>
      <c r="I51" s="9" t="s">
        <v>477</v>
      </c>
      <c r="J51" s="9" t="s">
        <v>380</v>
      </c>
      <c r="K51" s="9" t="s">
        <v>90</v>
      </c>
      <c r="L51" s="25" t="s">
        <v>478</v>
      </c>
      <c r="M51" s="9" t="s">
        <v>380</v>
      </c>
      <c r="N51" s="99" t="s">
        <v>479</v>
      </c>
      <c r="O51" s="58" t="s">
        <v>480</v>
      </c>
      <c r="P51" s="32">
        <v>0.75</v>
      </c>
      <c r="Q51" s="9" t="s">
        <v>382</v>
      </c>
      <c r="R51" s="9" t="s">
        <v>383</v>
      </c>
      <c r="S51" s="25" t="s">
        <v>481</v>
      </c>
    </row>
    <row r="52">
      <c r="A52" s="9">
        <v>51.0</v>
      </c>
      <c r="B52" s="101" t="s">
        <v>482</v>
      </c>
      <c r="C52" s="102" t="s">
        <v>483</v>
      </c>
      <c r="D52" s="9" t="s">
        <v>131</v>
      </c>
      <c r="E52" s="9" t="s">
        <v>484</v>
      </c>
      <c r="F52" s="9" t="s">
        <v>485</v>
      </c>
      <c r="G52" s="9" t="s">
        <v>486</v>
      </c>
      <c r="H52" s="9" t="s">
        <v>487</v>
      </c>
      <c r="I52" s="9" t="s">
        <v>488</v>
      </c>
      <c r="J52" s="9" t="s">
        <v>489</v>
      </c>
      <c r="K52" s="9" t="s">
        <v>490</v>
      </c>
      <c r="L52" s="9">
        <v>2.013309382E9</v>
      </c>
      <c r="M52" s="9" t="s">
        <v>491</v>
      </c>
      <c r="N52" s="9" t="s">
        <v>492</v>
      </c>
      <c r="O52" s="9" t="s">
        <v>493</v>
      </c>
      <c r="P52" s="32">
        <v>0.65</v>
      </c>
      <c r="Q52" s="9" t="s">
        <v>382</v>
      </c>
      <c r="R52" s="9" t="s">
        <v>127</v>
      </c>
      <c r="S52" s="25" t="s">
        <v>494</v>
      </c>
      <c r="T52" s="9" t="s">
        <v>495</v>
      </c>
    </row>
    <row r="53">
      <c r="A53" s="9">
        <v>52.0</v>
      </c>
      <c r="B53" s="9" t="s">
        <v>496</v>
      </c>
      <c r="C53" s="9" t="s">
        <v>497</v>
      </c>
      <c r="D53" s="9" t="s">
        <v>131</v>
      </c>
      <c r="E53" s="9" t="s">
        <v>484</v>
      </c>
      <c r="F53" s="9" t="s">
        <v>485</v>
      </c>
      <c r="G53" s="103" t="s">
        <v>498</v>
      </c>
      <c r="H53" s="103" t="s">
        <v>499</v>
      </c>
      <c r="I53" s="9" t="s">
        <v>500</v>
      </c>
      <c r="J53" s="88" t="s">
        <v>501</v>
      </c>
      <c r="K53" s="9" t="s">
        <v>502</v>
      </c>
      <c r="L53" s="25" t="s">
        <v>503</v>
      </c>
      <c r="N53" s="9" t="s">
        <v>412</v>
      </c>
      <c r="O53" s="36" t="s">
        <v>504</v>
      </c>
      <c r="P53" s="32">
        <v>0.45</v>
      </c>
      <c r="Q53" s="9" t="s">
        <v>382</v>
      </c>
      <c r="R53" s="9" t="s">
        <v>127</v>
      </c>
      <c r="S53" s="25" t="s">
        <v>505</v>
      </c>
      <c r="T53" s="9" t="s">
        <v>495</v>
      </c>
    </row>
    <row r="54">
      <c r="A54" s="9">
        <v>53.0</v>
      </c>
      <c r="B54" s="9" t="s">
        <v>399</v>
      </c>
      <c r="C54" s="9" t="s">
        <v>506</v>
      </c>
      <c r="D54" s="9" t="s">
        <v>131</v>
      </c>
      <c r="E54" s="9" t="s">
        <v>312</v>
      </c>
      <c r="F54" s="9" t="s">
        <v>485</v>
      </c>
      <c r="G54" s="9" t="s">
        <v>507</v>
      </c>
      <c r="H54" s="9" t="s">
        <v>508</v>
      </c>
      <c r="I54" s="9" t="s">
        <v>509</v>
      </c>
      <c r="J54" s="9" t="s">
        <v>380</v>
      </c>
      <c r="K54" s="9" t="s">
        <v>510</v>
      </c>
      <c r="L54" s="9" t="s">
        <v>511</v>
      </c>
      <c r="M54" s="9" t="s">
        <v>512</v>
      </c>
      <c r="N54" s="9" t="s">
        <v>513</v>
      </c>
      <c r="O54" s="25" t="s">
        <v>514</v>
      </c>
      <c r="P54" s="32">
        <v>0.6</v>
      </c>
      <c r="Q54" s="9" t="s">
        <v>127</v>
      </c>
      <c r="R54" s="9" t="s">
        <v>127</v>
      </c>
      <c r="S54" s="25" t="s">
        <v>515</v>
      </c>
      <c r="T54" s="9" t="s">
        <v>495</v>
      </c>
    </row>
    <row r="55">
      <c r="A55" s="9">
        <v>54.0</v>
      </c>
      <c r="B55" s="9" t="s">
        <v>516</v>
      </c>
      <c r="C55" s="9" t="s">
        <v>517</v>
      </c>
      <c r="D55" s="9" t="s">
        <v>131</v>
      </c>
      <c r="E55" s="9" t="s">
        <v>164</v>
      </c>
      <c r="F55" s="9" t="s">
        <v>485</v>
      </c>
      <c r="G55" s="9" t="s">
        <v>518</v>
      </c>
      <c r="H55" s="9" t="s">
        <v>519</v>
      </c>
      <c r="I55" s="9" t="s">
        <v>509</v>
      </c>
      <c r="J55" s="9" t="s">
        <v>380</v>
      </c>
      <c r="K55" s="9" t="s">
        <v>510</v>
      </c>
      <c r="L55" s="9" t="s">
        <v>520</v>
      </c>
      <c r="M55" s="9" t="s">
        <v>521</v>
      </c>
      <c r="N55" s="9" t="s">
        <v>522</v>
      </c>
      <c r="O55" s="25" t="s">
        <v>523</v>
      </c>
      <c r="P55" s="32">
        <v>0.7</v>
      </c>
      <c r="Q55" s="9" t="s">
        <v>127</v>
      </c>
      <c r="R55" s="9" t="s">
        <v>127</v>
      </c>
      <c r="S55" s="25" t="s">
        <v>524</v>
      </c>
      <c r="T55" s="9" t="s">
        <v>495</v>
      </c>
    </row>
    <row r="56">
      <c r="A56" s="9">
        <v>55.0</v>
      </c>
      <c r="B56" s="9" t="s">
        <v>216</v>
      </c>
      <c r="C56" s="9" t="s">
        <v>525</v>
      </c>
      <c r="D56" s="9" t="s">
        <v>131</v>
      </c>
      <c r="E56" s="9" t="s">
        <v>484</v>
      </c>
      <c r="F56" s="9" t="s">
        <v>485</v>
      </c>
      <c r="G56" s="9" t="s">
        <v>526</v>
      </c>
      <c r="H56" s="9" t="s">
        <v>527</v>
      </c>
      <c r="I56" s="9" t="s">
        <v>250</v>
      </c>
      <c r="J56" s="9" t="s">
        <v>380</v>
      </c>
      <c r="K56" s="9" t="s">
        <v>528</v>
      </c>
      <c r="L56" s="9">
        <v>2.01912516E9</v>
      </c>
      <c r="M56" s="25" t="s">
        <v>529</v>
      </c>
      <c r="O56" s="25" t="s">
        <v>530</v>
      </c>
      <c r="P56" s="32">
        <v>0.3</v>
      </c>
      <c r="Q56" s="9" t="s">
        <v>127</v>
      </c>
      <c r="R56" s="9" t="s">
        <v>127</v>
      </c>
      <c r="S56" s="25" t="s">
        <v>531</v>
      </c>
      <c r="T56" s="9" t="s">
        <v>495</v>
      </c>
    </row>
    <row r="57">
      <c r="A57" s="9">
        <v>56.0</v>
      </c>
      <c r="B57" s="9" t="s">
        <v>532</v>
      </c>
      <c r="C57" s="9" t="s">
        <v>525</v>
      </c>
      <c r="D57" s="9" t="s">
        <v>131</v>
      </c>
      <c r="E57" s="9" t="s">
        <v>484</v>
      </c>
      <c r="F57" s="9" t="s">
        <v>485</v>
      </c>
      <c r="H57" s="9" t="s">
        <v>533</v>
      </c>
      <c r="I57" s="9" t="s">
        <v>250</v>
      </c>
      <c r="J57" s="9" t="s">
        <v>380</v>
      </c>
      <c r="K57" s="9" t="s">
        <v>528</v>
      </c>
      <c r="L57" s="9">
        <v>2.01912516E9</v>
      </c>
      <c r="M57" s="25" t="s">
        <v>534</v>
      </c>
      <c r="O57" s="25" t="s">
        <v>530</v>
      </c>
      <c r="P57" s="32">
        <v>0.3</v>
      </c>
      <c r="Q57" s="9" t="s">
        <v>127</v>
      </c>
      <c r="R57" s="9" t="s">
        <v>127</v>
      </c>
      <c r="S57" s="25" t="s">
        <v>531</v>
      </c>
      <c r="T57" s="9" t="s">
        <v>495</v>
      </c>
    </row>
    <row r="58">
      <c r="A58" s="9">
        <v>57.0</v>
      </c>
      <c r="B58" s="9" t="s">
        <v>535</v>
      </c>
      <c r="C58" s="9" t="s">
        <v>525</v>
      </c>
      <c r="D58" s="9" t="s">
        <v>131</v>
      </c>
      <c r="E58" s="9" t="s">
        <v>536</v>
      </c>
      <c r="F58" s="9" t="s">
        <v>485</v>
      </c>
      <c r="G58" s="9" t="s">
        <v>537</v>
      </c>
      <c r="H58" s="9" t="s">
        <v>538</v>
      </c>
      <c r="I58" s="9" t="s">
        <v>250</v>
      </c>
      <c r="J58" s="9" t="s">
        <v>380</v>
      </c>
      <c r="K58" s="9" t="s">
        <v>528</v>
      </c>
      <c r="L58" s="9">
        <v>2.01912516E9</v>
      </c>
      <c r="M58" s="25" t="s">
        <v>534</v>
      </c>
      <c r="O58" s="25" t="s">
        <v>530</v>
      </c>
      <c r="P58" s="32">
        <v>0.3</v>
      </c>
      <c r="Q58" s="9" t="s">
        <v>539</v>
      </c>
      <c r="R58" s="9" t="s">
        <v>127</v>
      </c>
      <c r="S58" s="25" t="s">
        <v>531</v>
      </c>
      <c r="T58" s="9" t="s">
        <v>495</v>
      </c>
    </row>
    <row r="59">
      <c r="A59" s="9">
        <v>58.0</v>
      </c>
      <c r="B59" s="9" t="s">
        <v>540</v>
      </c>
      <c r="C59" s="36" t="s">
        <v>541</v>
      </c>
      <c r="D59" s="9" t="s">
        <v>131</v>
      </c>
      <c r="E59" s="9" t="s">
        <v>246</v>
      </c>
      <c r="F59" s="9" t="s">
        <v>485</v>
      </c>
      <c r="G59" s="9" t="s">
        <v>542</v>
      </c>
      <c r="H59" s="9" t="s">
        <v>543</v>
      </c>
      <c r="I59" s="9" t="s">
        <v>250</v>
      </c>
      <c r="J59" s="9" t="s">
        <v>380</v>
      </c>
      <c r="K59" s="9" t="s">
        <v>544</v>
      </c>
      <c r="O59" s="25" t="s">
        <v>545</v>
      </c>
      <c r="P59" s="32">
        <v>0.45</v>
      </c>
      <c r="Q59" s="9" t="s">
        <v>127</v>
      </c>
      <c r="R59" s="9" t="s">
        <v>127</v>
      </c>
      <c r="S59" s="25" t="s">
        <v>546</v>
      </c>
      <c r="T59" s="9" t="s">
        <v>495</v>
      </c>
    </row>
    <row r="60">
      <c r="A60" s="9">
        <v>59.0</v>
      </c>
      <c r="B60" s="9" t="s">
        <v>482</v>
      </c>
      <c r="C60" s="9" t="s">
        <v>547</v>
      </c>
      <c r="D60" s="9" t="s">
        <v>131</v>
      </c>
      <c r="E60" s="9" t="s">
        <v>246</v>
      </c>
      <c r="F60" s="9" t="s">
        <v>548</v>
      </c>
      <c r="G60" s="9" t="s">
        <v>549</v>
      </c>
      <c r="H60" s="9" t="s">
        <v>550</v>
      </c>
      <c r="I60" s="9" t="s">
        <v>250</v>
      </c>
      <c r="J60" s="9" t="s">
        <v>551</v>
      </c>
      <c r="K60" s="9" t="s">
        <v>552</v>
      </c>
      <c r="L60" s="9" t="s">
        <v>553</v>
      </c>
      <c r="M60" s="9" t="s">
        <v>554</v>
      </c>
      <c r="N60" s="9" t="s">
        <v>555</v>
      </c>
      <c r="O60" s="25" t="s">
        <v>556</v>
      </c>
      <c r="P60" s="32">
        <v>0.3</v>
      </c>
      <c r="Q60" s="9" t="s">
        <v>127</v>
      </c>
      <c r="R60" s="9" t="s">
        <v>127</v>
      </c>
      <c r="S60" s="25" t="s">
        <v>557</v>
      </c>
      <c r="T60" s="9" t="s">
        <v>558</v>
      </c>
    </row>
    <row r="61">
      <c r="A61" s="9">
        <v>60.0</v>
      </c>
      <c r="B61" s="9" t="s">
        <v>559</v>
      </c>
      <c r="C61" s="9" t="s">
        <v>547</v>
      </c>
      <c r="D61" s="9" t="s">
        <v>131</v>
      </c>
      <c r="E61" s="9" t="s">
        <v>246</v>
      </c>
      <c r="F61" s="9" t="s">
        <v>560</v>
      </c>
      <c r="G61" s="9" t="s">
        <v>561</v>
      </c>
      <c r="H61" s="9" t="s">
        <v>562</v>
      </c>
      <c r="I61" s="9" t="s">
        <v>563</v>
      </c>
      <c r="J61" s="9" t="s">
        <v>564</v>
      </c>
      <c r="K61" s="9" t="s">
        <v>552</v>
      </c>
      <c r="L61" s="9" t="s">
        <v>565</v>
      </c>
      <c r="M61" s="9" t="s">
        <v>554</v>
      </c>
      <c r="N61" s="9" t="s">
        <v>555</v>
      </c>
      <c r="O61" s="25" t="s">
        <v>556</v>
      </c>
      <c r="P61" s="32">
        <v>0.3</v>
      </c>
      <c r="Q61" s="9" t="s">
        <v>127</v>
      </c>
      <c r="R61" s="9" t="s">
        <v>127</v>
      </c>
      <c r="S61" s="25" t="s">
        <v>566</v>
      </c>
      <c r="T61" s="9" t="s">
        <v>558</v>
      </c>
    </row>
    <row r="62">
      <c r="A62" s="9">
        <v>61.0</v>
      </c>
      <c r="B62" s="9" t="s">
        <v>482</v>
      </c>
      <c r="C62" s="9" t="s">
        <v>567</v>
      </c>
      <c r="D62" s="9" t="s">
        <v>568</v>
      </c>
      <c r="E62" s="9" t="s">
        <v>63</v>
      </c>
      <c r="F62" s="9" t="s">
        <v>485</v>
      </c>
      <c r="G62" s="9" t="s">
        <v>569</v>
      </c>
      <c r="H62" s="9" t="s">
        <v>570</v>
      </c>
      <c r="I62" s="9" t="s">
        <v>57</v>
      </c>
      <c r="J62" s="9" t="s">
        <v>571</v>
      </c>
      <c r="K62" s="9" t="s">
        <v>572</v>
      </c>
      <c r="L62" s="9" t="s">
        <v>573</v>
      </c>
      <c r="M62" s="9" t="s">
        <v>574</v>
      </c>
      <c r="N62" s="9" t="s">
        <v>555</v>
      </c>
      <c r="O62" s="25" t="s">
        <v>575</v>
      </c>
      <c r="P62" s="32">
        <v>0.35</v>
      </c>
      <c r="Q62" s="9" t="s">
        <v>127</v>
      </c>
      <c r="R62" s="9" t="s">
        <v>127</v>
      </c>
      <c r="S62" s="25" t="s">
        <v>576</v>
      </c>
      <c r="T62" s="9" t="s">
        <v>558</v>
      </c>
    </row>
    <row r="63">
      <c r="A63" s="9">
        <v>62.0</v>
      </c>
      <c r="B63" s="9" t="s">
        <v>577</v>
      </c>
      <c r="C63" s="9" t="s">
        <v>578</v>
      </c>
      <c r="D63" s="9" t="s">
        <v>131</v>
      </c>
      <c r="E63" s="9" t="s">
        <v>63</v>
      </c>
      <c r="F63" s="9" t="s">
        <v>560</v>
      </c>
      <c r="G63" s="104" t="s">
        <v>579</v>
      </c>
      <c r="H63" s="104" t="s">
        <v>580</v>
      </c>
      <c r="I63" s="9" t="s">
        <v>581</v>
      </c>
      <c r="J63" s="9" t="s">
        <v>582</v>
      </c>
      <c r="K63" s="9" t="s">
        <v>583</v>
      </c>
      <c r="N63" s="9" t="s">
        <v>555</v>
      </c>
      <c r="O63" s="25" t="s">
        <v>584</v>
      </c>
      <c r="P63" s="32">
        <v>0.2</v>
      </c>
      <c r="Q63" s="9" t="s">
        <v>127</v>
      </c>
      <c r="R63" s="9" t="s">
        <v>127</v>
      </c>
      <c r="S63" s="25" t="s">
        <v>585</v>
      </c>
      <c r="T63" s="9" t="s">
        <v>558</v>
      </c>
    </row>
    <row r="64">
      <c r="A64" s="9">
        <v>63.0</v>
      </c>
      <c r="B64" s="9" t="s">
        <v>586</v>
      </c>
      <c r="C64" s="9" t="s">
        <v>587</v>
      </c>
      <c r="D64" s="9" t="s">
        <v>131</v>
      </c>
      <c r="E64" s="9" t="s">
        <v>63</v>
      </c>
      <c r="F64" s="9" t="s">
        <v>548</v>
      </c>
      <c r="G64" s="9" t="s">
        <v>588</v>
      </c>
      <c r="H64" s="9" t="s">
        <v>589</v>
      </c>
      <c r="I64" s="9" t="s">
        <v>590</v>
      </c>
      <c r="J64" s="9" t="s">
        <v>591</v>
      </c>
      <c r="K64" s="9" t="s">
        <v>592</v>
      </c>
      <c r="N64" s="9" t="s">
        <v>593</v>
      </c>
      <c r="O64" s="25" t="s">
        <v>594</v>
      </c>
      <c r="P64" s="32">
        <v>0.55</v>
      </c>
      <c r="Q64" s="9" t="s">
        <v>127</v>
      </c>
      <c r="R64" s="9" t="s">
        <v>127</v>
      </c>
      <c r="S64" s="25" t="s">
        <v>595</v>
      </c>
      <c r="T64" s="9" t="s">
        <v>558</v>
      </c>
    </row>
    <row r="65">
      <c r="A65" s="9">
        <v>64.0</v>
      </c>
      <c r="B65" s="82" t="s">
        <v>596</v>
      </c>
      <c r="C65" s="9" t="s">
        <v>597</v>
      </c>
      <c r="D65" s="9" t="s">
        <v>131</v>
      </c>
      <c r="E65" s="9" t="s">
        <v>246</v>
      </c>
      <c r="F65" s="9" t="s">
        <v>598</v>
      </c>
      <c r="G65" s="9" t="s">
        <v>599</v>
      </c>
      <c r="H65" s="9" t="s">
        <v>600</v>
      </c>
      <c r="I65" s="9" t="s">
        <v>601</v>
      </c>
      <c r="J65" s="9" t="s">
        <v>602</v>
      </c>
      <c r="K65" s="9" t="s">
        <v>603</v>
      </c>
      <c r="N65" s="9" t="s">
        <v>412</v>
      </c>
      <c r="O65" s="25" t="s">
        <v>604</v>
      </c>
      <c r="P65" s="32">
        <v>0.6</v>
      </c>
      <c r="Q65" s="9" t="s">
        <v>106</v>
      </c>
      <c r="R65" s="9" t="s">
        <v>106</v>
      </c>
    </row>
    <row r="66">
      <c r="A66" s="9">
        <v>65.0</v>
      </c>
      <c r="B66" s="9" t="s">
        <v>605</v>
      </c>
      <c r="C66" s="9" t="s">
        <v>606</v>
      </c>
      <c r="D66" s="9" t="s">
        <v>131</v>
      </c>
      <c r="E66" s="9" t="s">
        <v>63</v>
      </c>
      <c r="F66" s="9" t="s">
        <v>598</v>
      </c>
      <c r="G66" s="9" t="s">
        <v>607</v>
      </c>
      <c r="H66" s="9" t="s">
        <v>608</v>
      </c>
      <c r="I66" s="9" t="s">
        <v>601</v>
      </c>
      <c r="J66" s="9" t="s">
        <v>602</v>
      </c>
      <c r="K66" s="9" t="s">
        <v>114</v>
      </c>
      <c r="N66" s="9" t="s">
        <v>609</v>
      </c>
      <c r="O66" s="25" t="s">
        <v>610</v>
      </c>
      <c r="P66" s="32">
        <v>0.55</v>
      </c>
      <c r="Q66" s="9" t="s">
        <v>106</v>
      </c>
      <c r="R66" s="9" t="s">
        <v>106</v>
      </c>
      <c r="S66" s="25" t="s">
        <v>611</v>
      </c>
      <c r="T66" s="9" t="s">
        <v>612</v>
      </c>
    </row>
    <row r="67">
      <c r="A67" s="9">
        <v>66.0</v>
      </c>
      <c r="B67" s="9" t="s">
        <v>613</v>
      </c>
      <c r="C67" s="9" t="s">
        <v>614</v>
      </c>
      <c r="D67" s="9" t="s">
        <v>34</v>
      </c>
      <c r="E67" s="9" t="s">
        <v>246</v>
      </c>
      <c r="F67" s="9" t="s">
        <v>598</v>
      </c>
      <c r="G67" s="9" t="s">
        <v>615</v>
      </c>
      <c r="H67" s="9" t="s">
        <v>616</v>
      </c>
      <c r="I67" s="9" t="s">
        <v>617</v>
      </c>
      <c r="J67" s="9" t="s">
        <v>618</v>
      </c>
      <c r="K67" s="9" t="s">
        <v>619</v>
      </c>
      <c r="M67" s="25" t="s">
        <v>620</v>
      </c>
      <c r="N67" s="9" t="s">
        <v>621</v>
      </c>
      <c r="P67" s="32">
        <v>0.65</v>
      </c>
      <c r="Q67" s="9" t="s">
        <v>106</v>
      </c>
      <c r="R67" s="9" t="s">
        <v>106</v>
      </c>
      <c r="S67" s="25" t="s">
        <v>622</v>
      </c>
      <c r="T67" s="9" t="s">
        <v>612</v>
      </c>
    </row>
    <row r="68">
      <c r="A68" s="9">
        <v>67.0</v>
      </c>
      <c r="B68" s="82" t="s">
        <v>623</v>
      </c>
      <c r="C68" s="9" t="s">
        <v>624</v>
      </c>
      <c r="D68" s="9" t="s">
        <v>34</v>
      </c>
      <c r="E68" s="9" t="s">
        <v>246</v>
      </c>
      <c r="F68" s="9" t="s">
        <v>598</v>
      </c>
      <c r="G68" s="9" t="s">
        <v>625</v>
      </c>
      <c r="H68" s="9" t="s">
        <v>626</v>
      </c>
      <c r="I68" s="9" t="s">
        <v>627</v>
      </c>
      <c r="J68" s="9" t="s">
        <v>602</v>
      </c>
      <c r="K68" s="9" t="s">
        <v>628</v>
      </c>
      <c r="N68" s="9" t="s">
        <v>92</v>
      </c>
      <c r="P68" s="32">
        <v>0.7</v>
      </c>
      <c r="Q68" s="9" t="s">
        <v>106</v>
      </c>
      <c r="R68" s="9" t="s">
        <v>106</v>
      </c>
      <c r="S68" s="25" t="s">
        <v>629</v>
      </c>
      <c r="T68" s="9" t="s">
        <v>612</v>
      </c>
    </row>
    <row r="69">
      <c r="A69" s="9">
        <v>68.0</v>
      </c>
      <c r="B69" s="9" t="s">
        <v>171</v>
      </c>
      <c r="C69" s="9" t="s">
        <v>630</v>
      </c>
      <c r="D69" s="9" t="s">
        <v>131</v>
      </c>
      <c r="E69" s="9" t="s">
        <v>308</v>
      </c>
      <c r="F69" s="9" t="s">
        <v>598</v>
      </c>
      <c r="G69" s="9" t="s">
        <v>631</v>
      </c>
      <c r="H69" s="9" t="s">
        <v>632</v>
      </c>
      <c r="I69" s="25" t="s">
        <v>249</v>
      </c>
      <c r="J69" s="9" t="s">
        <v>272</v>
      </c>
      <c r="K69" s="9" t="s">
        <v>114</v>
      </c>
      <c r="N69" s="9" t="s">
        <v>412</v>
      </c>
      <c r="P69" s="32">
        <v>0.5</v>
      </c>
      <c r="Q69" s="9" t="s">
        <v>106</v>
      </c>
      <c r="R69" s="9" t="s">
        <v>106</v>
      </c>
      <c r="S69" s="25" t="s">
        <v>633</v>
      </c>
      <c r="T69" s="9" t="s">
        <v>612</v>
      </c>
    </row>
    <row r="70">
      <c r="A70" s="9">
        <v>69.0</v>
      </c>
      <c r="B70" s="91" t="s">
        <v>634</v>
      </c>
      <c r="C70" s="91" t="s">
        <v>86</v>
      </c>
      <c r="D70" s="91" t="s">
        <v>34</v>
      </c>
      <c r="E70" s="91" t="s">
        <v>635</v>
      </c>
      <c r="F70" s="105">
        <v>46216.0</v>
      </c>
      <c r="G70" s="91" t="s">
        <v>636</v>
      </c>
      <c r="H70" s="91" t="s">
        <v>637</v>
      </c>
      <c r="I70" s="91" t="s">
        <v>638</v>
      </c>
      <c r="J70" s="91" t="s">
        <v>113</v>
      </c>
      <c r="K70" s="91" t="s">
        <v>639</v>
      </c>
      <c r="L70" s="91" t="s">
        <v>640</v>
      </c>
      <c r="M70" s="91" t="s">
        <v>641</v>
      </c>
      <c r="N70" s="91" t="s">
        <v>642</v>
      </c>
      <c r="O70" s="91" t="s">
        <v>113</v>
      </c>
      <c r="P70" s="106">
        <v>0.82</v>
      </c>
      <c r="Q70" s="91" t="s">
        <v>397</v>
      </c>
      <c r="R70" s="91" t="s">
        <v>397</v>
      </c>
      <c r="S70" s="96" t="s">
        <v>643</v>
      </c>
      <c r="T70" s="91" t="s">
        <v>644</v>
      </c>
    </row>
    <row r="71">
      <c r="A71" s="9">
        <v>70.0</v>
      </c>
      <c r="B71" s="91" t="s">
        <v>645</v>
      </c>
      <c r="C71" s="91" t="s">
        <v>646</v>
      </c>
      <c r="D71" s="91" t="s">
        <v>34</v>
      </c>
      <c r="E71" s="91" t="s">
        <v>647</v>
      </c>
      <c r="F71" s="105">
        <v>46216.0</v>
      </c>
      <c r="G71" s="91" t="s">
        <v>648</v>
      </c>
      <c r="H71" s="91" t="s">
        <v>649</v>
      </c>
      <c r="I71" s="91" t="s">
        <v>650</v>
      </c>
      <c r="J71" s="91" t="s">
        <v>113</v>
      </c>
      <c r="K71" s="91" t="s">
        <v>651</v>
      </c>
      <c r="L71" s="91" t="s">
        <v>652</v>
      </c>
      <c r="M71" s="91" t="s">
        <v>653</v>
      </c>
      <c r="N71" s="91" t="s">
        <v>654</v>
      </c>
      <c r="O71" s="91" t="s">
        <v>113</v>
      </c>
      <c r="P71" s="106">
        <v>0.75</v>
      </c>
      <c r="Q71" s="91" t="s">
        <v>397</v>
      </c>
      <c r="R71" s="91" t="s">
        <v>397</v>
      </c>
      <c r="S71" s="96" t="s">
        <v>655</v>
      </c>
      <c r="T71" s="96" t="s">
        <v>656</v>
      </c>
    </row>
    <row r="72">
      <c r="A72" s="9">
        <v>71.0</v>
      </c>
      <c r="B72" s="91" t="s">
        <v>657</v>
      </c>
      <c r="C72" s="91" t="s">
        <v>658</v>
      </c>
      <c r="D72" s="91" t="s">
        <v>34</v>
      </c>
      <c r="E72" s="91" t="s">
        <v>659</v>
      </c>
      <c r="F72" s="105">
        <v>46216.0</v>
      </c>
      <c r="G72" s="91" t="s">
        <v>660</v>
      </c>
      <c r="H72" s="91" t="s">
        <v>661</v>
      </c>
      <c r="I72" s="91" t="s">
        <v>662</v>
      </c>
      <c r="J72" s="91" t="s">
        <v>113</v>
      </c>
      <c r="K72" s="91" t="s">
        <v>663</v>
      </c>
      <c r="L72" s="91" t="s">
        <v>664</v>
      </c>
      <c r="M72" s="91" t="s">
        <v>113</v>
      </c>
      <c r="N72" s="91" t="s">
        <v>665</v>
      </c>
      <c r="O72" s="91" t="s">
        <v>113</v>
      </c>
      <c r="P72" s="106">
        <v>0.88</v>
      </c>
      <c r="Q72" s="91" t="s">
        <v>397</v>
      </c>
      <c r="R72" s="91" t="s">
        <v>397</v>
      </c>
      <c r="S72" s="96" t="s">
        <v>666</v>
      </c>
      <c r="T72" s="96" t="s">
        <v>667</v>
      </c>
    </row>
    <row r="73">
      <c r="A73" s="9">
        <v>72.0</v>
      </c>
      <c r="B73" s="91" t="s">
        <v>668</v>
      </c>
      <c r="C73" s="91" t="s">
        <v>658</v>
      </c>
      <c r="D73" s="91" t="s">
        <v>34</v>
      </c>
      <c r="E73" s="91" t="s">
        <v>669</v>
      </c>
      <c r="F73" s="105">
        <v>46216.0</v>
      </c>
      <c r="G73" s="91" t="s">
        <v>670</v>
      </c>
      <c r="H73" s="91" t="s">
        <v>671</v>
      </c>
      <c r="I73" s="91" t="s">
        <v>672</v>
      </c>
      <c r="J73" s="91" t="s">
        <v>113</v>
      </c>
      <c r="K73" s="91" t="s">
        <v>663</v>
      </c>
      <c r="L73" s="91" t="s">
        <v>664</v>
      </c>
      <c r="M73" s="91" t="s">
        <v>113</v>
      </c>
      <c r="N73" s="91" t="s">
        <v>665</v>
      </c>
      <c r="O73" s="91" t="s">
        <v>113</v>
      </c>
      <c r="P73" s="106">
        <v>0.88</v>
      </c>
      <c r="Q73" s="91" t="s">
        <v>397</v>
      </c>
      <c r="R73" s="91" t="s">
        <v>397</v>
      </c>
      <c r="S73" s="96" t="s">
        <v>673</v>
      </c>
      <c r="T73" s="96" t="s">
        <v>667</v>
      </c>
    </row>
    <row r="74">
      <c r="A74" s="9">
        <v>73.0</v>
      </c>
      <c r="B74" s="91" t="s">
        <v>674</v>
      </c>
      <c r="C74" s="91" t="s">
        <v>675</v>
      </c>
      <c r="D74" s="91" t="s">
        <v>34</v>
      </c>
      <c r="E74" s="91" t="s">
        <v>676</v>
      </c>
      <c r="F74" s="105">
        <v>46216.0</v>
      </c>
      <c r="G74" s="91" t="s">
        <v>677</v>
      </c>
      <c r="H74" s="91" t="s">
        <v>678</v>
      </c>
      <c r="I74" s="91" t="s">
        <v>679</v>
      </c>
      <c r="J74" s="91" t="s">
        <v>113</v>
      </c>
      <c r="K74" s="91" t="s">
        <v>114</v>
      </c>
      <c r="L74" s="107">
        <v>2.7214247116E10</v>
      </c>
      <c r="M74" s="91" t="s">
        <v>680</v>
      </c>
      <c r="N74" s="91" t="s">
        <v>681</v>
      </c>
      <c r="O74" s="91" t="s">
        <v>113</v>
      </c>
      <c r="P74" s="106">
        <v>0.7</v>
      </c>
      <c r="Q74" s="91" t="s">
        <v>397</v>
      </c>
      <c r="R74" s="91" t="s">
        <v>397</v>
      </c>
      <c r="S74" s="96" t="s">
        <v>682</v>
      </c>
      <c r="T74" s="91" t="s">
        <v>683</v>
      </c>
    </row>
    <row r="75">
      <c r="A75" s="9">
        <v>74.0</v>
      </c>
      <c r="B75" s="91" t="s">
        <v>668</v>
      </c>
      <c r="C75" s="91" t="s">
        <v>675</v>
      </c>
      <c r="D75" s="91" t="s">
        <v>34</v>
      </c>
      <c r="E75" s="91" t="s">
        <v>676</v>
      </c>
      <c r="F75" s="105">
        <v>46216.0</v>
      </c>
      <c r="G75" s="91" t="s">
        <v>684</v>
      </c>
      <c r="H75" s="91" t="s">
        <v>685</v>
      </c>
      <c r="I75" s="91" t="s">
        <v>686</v>
      </c>
      <c r="J75" s="91" t="s">
        <v>113</v>
      </c>
      <c r="K75" s="91" t="s">
        <v>114</v>
      </c>
      <c r="L75" s="107">
        <v>2.7214247116E10</v>
      </c>
      <c r="M75" s="91" t="s">
        <v>680</v>
      </c>
      <c r="N75" s="91" t="s">
        <v>681</v>
      </c>
      <c r="O75" s="91" t="s">
        <v>113</v>
      </c>
      <c r="P75" s="106">
        <v>0.7</v>
      </c>
      <c r="Q75" s="91" t="s">
        <v>397</v>
      </c>
      <c r="R75" s="91" t="s">
        <v>397</v>
      </c>
      <c r="S75" s="96" t="s">
        <v>687</v>
      </c>
      <c r="T75" s="91" t="s">
        <v>683</v>
      </c>
    </row>
    <row r="76">
      <c r="A76" s="9">
        <v>75.0</v>
      </c>
      <c r="B76" s="91" t="s">
        <v>688</v>
      </c>
      <c r="C76" s="91" t="s">
        <v>689</v>
      </c>
      <c r="D76" s="91" t="s">
        <v>690</v>
      </c>
      <c r="E76" s="91" t="s">
        <v>363</v>
      </c>
      <c r="F76" s="105">
        <v>46216.0</v>
      </c>
      <c r="G76" s="91" t="s">
        <v>691</v>
      </c>
      <c r="H76" s="91" t="s">
        <v>692</v>
      </c>
      <c r="I76" s="91" t="s">
        <v>693</v>
      </c>
      <c r="J76" s="91" t="s">
        <v>694</v>
      </c>
      <c r="K76" s="91" t="s">
        <v>695</v>
      </c>
      <c r="L76" s="107">
        <v>2.33307000503E11</v>
      </c>
      <c r="M76" s="91" t="s">
        <v>696</v>
      </c>
      <c r="N76" s="91" t="s">
        <v>697</v>
      </c>
      <c r="O76" s="91" t="s">
        <v>113</v>
      </c>
      <c r="P76" s="106">
        <v>0.65</v>
      </c>
      <c r="Q76" s="91" t="s">
        <v>397</v>
      </c>
      <c r="R76" s="91" t="s">
        <v>397</v>
      </c>
      <c r="S76" s="96" t="s">
        <v>698</v>
      </c>
      <c r="T76" s="91" t="s">
        <v>699</v>
      </c>
    </row>
    <row r="77">
      <c r="A77" s="9">
        <v>76.0</v>
      </c>
      <c r="B77" s="91" t="s">
        <v>700</v>
      </c>
      <c r="C77" s="91" t="s">
        <v>689</v>
      </c>
      <c r="D77" s="91" t="s">
        <v>690</v>
      </c>
      <c r="E77" s="91" t="s">
        <v>363</v>
      </c>
      <c r="F77" s="105">
        <v>46216.0</v>
      </c>
      <c r="G77" s="91" t="s">
        <v>701</v>
      </c>
      <c r="H77" s="91" t="s">
        <v>702</v>
      </c>
      <c r="I77" s="91" t="s">
        <v>703</v>
      </c>
      <c r="J77" s="91" t="s">
        <v>694</v>
      </c>
      <c r="K77" s="91" t="s">
        <v>695</v>
      </c>
      <c r="L77" s="107">
        <v>2.33307000503E11</v>
      </c>
      <c r="M77" s="91" t="s">
        <v>696</v>
      </c>
      <c r="N77" s="91" t="s">
        <v>697</v>
      </c>
      <c r="O77" s="91" t="s">
        <v>113</v>
      </c>
      <c r="P77" s="106">
        <v>0.65</v>
      </c>
      <c r="Q77" s="91" t="s">
        <v>397</v>
      </c>
      <c r="R77" s="91" t="s">
        <v>397</v>
      </c>
      <c r="S77" s="96" t="s">
        <v>704</v>
      </c>
      <c r="T77" s="91" t="s">
        <v>699</v>
      </c>
    </row>
    <row r="78">
      <c r="A78" s="9">
        <v>77.0</v>
      </c>
      <c r="B78" s="91" t="s">
        <v>705</v>
      </c>
      <c r="C78" s="91" t="s">
        <v>706</v>
      </c>
      <c r="D78" s="91" t="s">
        <v>131</v>
      </c>
      <c r="E78" s="91" t="s">
        <v>363</v>
      </c>
      <c r="F78" s="105">
        <v>46216.0</v>
      </c>
      <c r="G78" s="91" t="s">
        <v>707</v>
      </c>
      <c r="H78" s="91" t="s">
        <v>708</v>
      </c>
      <c r="I78" s="91" t="s">
        <v>709</v>
      </c>
      <c r="J78" s="91" t="s">
        <v>710</v>
      </c>
      <c r="K78" s="91" t="s">
        <v>711</v>
      </c>
      <c r="L78" s="107">
        <v>2.349037947043E12</v>
      </c>
      <c r="M78" s="91" t="s">
        <v>712</v>
      </c>
      <c r="N78" s="91" t="s">
        <v>245</v>
      </c>
      <c r="O78" s="91" t="s">
        <v>113</v>
      </c>
      <c r="P78" s="106">
        <v>0.68</v>
      </c>
      <c r="Q78" s="91" t="s">
        <v>397</v>
      </c>
      <c r="R78" s="91" t="s">
        <v>397</v>
      </c>
      <c r="S78" s="96" t="s">
        <v>713</v>
      </c>
      <c r="T78" s="91" t="s">
        <v>714</v>
      </c>
    </row>
    <row r="79">
      <c r="A79" s="9">
        <v>78.0</v>
      </c>
      <c r="B79" s="91" t="s">
        <v>216</v>
      </c>
      <c r="C79" s="91" t="s">
        <v>715</v>
      </c>
      <c r="D79" s="91" t="s">
        <v>131</v>
      </c>
      <c r="E79" s="91" t="s">
        <v>363</v>
      </c>
      <c r="F79" s="105">
        <v>46216.0</v>
      </c>
      <c r="G79" s="91" t="s">
        <v>716</v>
      </c>
      <c r="H79" s="91" t="s">
        <v>717</v>
      </c>
      <c r="I79" s="91" t="s">
        <v>718</v>
      </c>
      <c r="J79" s="91" t="s">
        <v>262</v>
      </c>
      <c r="K79" s="91" t="s">
        <v>719</v>
      </c>
      <c r="L79" s="91" t="s">
        <v>720</v>
      </c>
      <c r="M79" s="91" t="s">
        <v>721</v>
      </c>
      <c r="N79" s="91" t="s">
        <v>722</v>
      </c>
      <c r="O79" s="91" t="s">
        <v>113</v>
      </c>
      <c r="P79" s="106">
        <v>0.8</v>
      </c>
      <c r="Q79" s="91" t="s">
        <v>397</v>
      </c>
      <c r="R79" s="91" t="s">
        <v>397</v>
      </c>
      <c r="S79" s="96" t="s">
        <v>723</v>
      </c>
      <c r="T79" s="91" t="s">
        <v>714</v>
      </c>
    </row>
    <row r="80">
      <c r="A80" s="9">
        <v>79.0</v>
      </c>
      <c r="B80" s="91" t="s">
        <v>724</v>
      </c>
      <c r="C80" s="91" t="s">
        <v>715</v>
      </c>
      <c r="D80" s="91" t="s">
        <v>131</v>
      </c>
      <c r="E80" s="91" t="s">
        <v>363</v>
      </c>
      <c r="F80" s="105">
        <v>46216.0</v>
      </c>
      <c r="G80" s="91" t="s">
        <v>725</v>
      </c>
      <c r="H80" s="91" t="s">
        <v>726</v>
      </c>
      <c r="I80" s="91" t="s">
        <v>727</v>
      </c>
      <c r="J80" s="91" t="s">
        <v>728</v>
      </c>
      <c r="K80" s="91" t="s">
        <v>729</v>
      </c>
      <c r="L80" s="91" t="s">
        <v>720</v>
      </c>
      <c r="M80" s="91" t="s">
        <v>721</v>
      </c>
      <c r="N80" s="91" t="s">
        <v>722</v>
      </c>
      <c r="O80" s="91" t="s">
        <v>113</v>
      </c>
      <c r="P80" s="106">
        <v>0.8</v>
      </c>
      <c r="Q80" s="91" t="s">
        <v>397</v>
      </c>
      <c r="R80" s="91" t="s">
        <v>397</v>
      </c>
      <c r="S80" s="96" t="s">
        <v>730</v>
      </c>
      <c r="T80" s="91" t="s">
        <v>714</v>
      </c>
    </row>
    <row r="81">
      <c r="A81" s="9">
        <v>80.0</v>
      </c>
      <c r="B81" s="91" t="s">
        <v>731</v>
      </c>
      <c r="C81" s="91" t="s">
        <v>732</v>
      </c>
      <c r="D81" s="91" t="s">
        <v>131</v>
      </c>
      <c r="E81" s="91" t="s">
        <v>320</v>
      </c>
      <c r="F81" s="105">
        <v>46216.0</v>
      </c>
      <c r="G81" s="91" t="s">
        <v>733</v>
      </c>
      <c r="H81" s="91" t="s">
        <v>734</v>
      </c>
      <c r="I81" s="91" t="s">
        <v>735</v>
      </c>
      <c r="J81" s="91" t="s">
        <v>262</v>
      </c>
      <c r="K81" s="91" t="s">
        <v>736</v>
      </c>
      <c r="L81" s="91" t="s">
        <v>737</v>
      </c>
      <c r="M81" s="91" t="s">
        <v>738</v>
      </c>
      <c r="N81" s="91" t="s">
        <v>739</v>
      </c>
      <c r="O81" s="91" t="s">
        <v>113</v>
      </c>
      <c r="P81" s="106">
        <v>0.72</v>
      </c>
      <c r="Q81" s="91" t="s">
        <v>397</v>
      </c>
      <c r="R81" s="91" t="s">
        <v>397</v>
      </c>
      <c r="S81" s="96" t="s">
        <v>740</v>
      </c>
      <c r="T81" s="91" t="s">
        <v>714</v>
      </c>
    </row>
    <row r="82">
      <c r="A82" s="9">
        <v>81.0</v>
      </c>
      <c r="B82" s="91" t="s">
        <v>741</v>
      </c>
      <c r="C82" s="91" t="s">
        <v>715</v>
      </c>
      <c r="D82" s="91" t="s">
        <v>131</v>
      </c>
      <c r="E82" s="91" t="s">
        <v>363</v>
      </c>
      <c r="F82" s="105">
        <v>46216.0</v>
      </c>
      <c r="G82" s="91" t="s">
        <v>742</v>
      </c>
      <c r="H82" s="91" t="s">
        <v>743</v>
      </c>
      <c r="I82" s="91" t="s">
        <v>709</v>
      </c>
      <c r="J82" s="91" t="s">
        <v>262</v>
      </c>
      <c r="K82" s="91" t="s">
        <v>744</v>
      </c>
      <c r="L82" s="91" t="s">
        <v>720</v>
      </c>
      <c r="M82" s="91" t="s">
        <v>721</v>
      </c>
      <c r="N82" s="91" t="s">
        <v>722</v>
      </c>
      <c r="O82" s="91" t="s">
        <v>113</v>
      </c>
      <c r="P82" s="106">
        <v>0.8</v>
      </c>
      <c r="Q82" s="91" t="s">
        <v>397</v>
      </c>
      <c r="R82" s="91" t="s">
        <v>397</v>
      </c>
      <c r="S82" s="96" t="s">
        <v>745</v>
      </c>
      <c r="T82" s="91" t="s">
        <v>714</v>
      </c>
    </row>
    <row r="83">
      <c r="A83" s="9">
        <v>82.0</v>
      </c>
      <c r="B83" s="91" t="s">
        <v>746</v>
      </c>
      <c r="C83" s="91" t="s">
        <v>747</v>
      </c>
      <c r="D83" s="91" t="s">
        <v>131</v>
      </c>
      <c r="E83" s="91" t="s">
        <v>35</v>
      </c>
      <c r="F83" s="105">
        <v>46234.0</v>
      </c>
      <c r="G83" s="91" t="s">
        <v>748</v>
      </c>
      <c r="H83" s="91" t="s">
        <v>749</v>
      </c>
      <c r="I83" s="91" t="s">
        <v>750</v>
      </c>
      <c r="J83" s="91" t="s">
        <v>113</v>
      </c>
      <c r="K83" s="91" t="s">
        <v>751</v>
      </c>
      <c r="L83" s="107">
        <v>2.348106079172E12</v>
      </c>
      <c r="M83" s="91" t="s">
        <v>752</v>
      </c>
      <c r="N83" s="91" t="s">
        <v>753</v>
      </c>
      <c r="O83" s="91" t="s">
        <v>113</v>
      </c>
      <c r="P83" s="106">
        <v>0.78</v>
      </c>
      <c r="Q83" s="91" t="s">
        <v>397</v>
      </c>
      <c r="R83" s="91" t="s">
        <v>397</v>
      </c>
      <c r="S83" s="96" t="s">
        <v>754</v>
      </c>
      <c r="T83" s="91" t="s">
        <v>755</v>
      </c>
    </row>
    <row r="84">
      <c r="A84" s="9">
        <v>83.0</v>
      </c>
      <c r="B84" s="91" t="s">
        <v>756</v>
      </c>
      <c r="C84" s="91" t="s">
        <v>757</v>
      </c>
      <c r="D84" s="91" t="s">
        <v>131</v>
      </c>
      <c r="E84" s="91" t="s">
        <v>758</v>
      </c>
      <c r="F84" s="105">
        <v>46244.0</v>
      </c>
      <c r="G84" s="91" t="s">
        <v>759</v>
      </c>
      <c r="H84" s="91" t="s">
        <v>760</v>
      </c>
      <c r="I84" s="91" t="s">
        <v>761</v>
      </c>
      <c r="J84" s="91" t="s">
        <v>113</v>
      </c>
      <c r="K84" s="91" t="s">
        <v>762</v>
      </c>
      <c r="L84" s="107">
        <v>2.349160002649E12</v>
      </c>
      <c r="M84" s="91" t="s">
        <v>763</v>
      </c>
      <c r="N84" s="91" t="s">
        <v>764</v>
      </c>
      <c r="O84" s="91" t="s">
        <v>765</v>
      </c>
      <c r="P84" s="106">
        <v>0.74</v>
      </c>
      <c r="Q84" s="91" t="s">
        <v>397</v>
      </c>
      <c r="R84" s="91" t="s">
        <v>397</v>
      </c>
      <c r="S84" s="96" t="s">
        <v>766</v>
      </c>
      <c r="T84" s="91" t="s">
        <v>755</v>
      </c>
    </row>
    <row r="85">
      <c r="A85" s="9">
        <v>84.0</v>
      </c>
      <c r="B85" s="91" t="s">
        <v>605</v>
      </c>
      <c r="C85" s="91" t="s">
        <v>767</v>
      </c>
      <c r="D85" s="91" t="s">
        <v>131</v>
      </c>
      <c r="E85" s="91" t="s">
        <v>768</v>
      </c>
      <c r="F85" s="105">
        <v>46222.0</v>
      </c>
      <c r="G85" s="91" t="s">
        <v>769</v>
      </c>
      <c r="H85" s="91" t="s">
        <v>770</v>
      </c>
      <c r="I85" s="91" t="s">
        <v>771</v>
      </c>
      <c r="J85" s="91" t="s">
        <v>113</v>
      </c>
      <c r="K85" s="91" t="s">
        <v>772</v>
      </c>
      <c r="L85" s="107">
        <v>2.34201888999E12</v>
      </c>
      <c r="M85" s="91" t="s">
        <v>773</v>
      </c>
      <c r="N85" s="91" t="s">
        <v>774</v>
      </c>
      <c r="O85" s="91" t="s">
        <v>113</v>
      </c>
      <c r="P85" s="106">
        <v>0.86</v>
      </c>
      <c r="Q85" s="91" t="s">
        <v>397</v>
      </c>
      <c r="R85" s="91" t="s">
        <v>397</v>
      </c>
      <c r="S85" s="96" t="s">
        <v>775</v>
      </c>
      <c r="T85" s="91" t="s">
        <v>755</v>
      </c>
    </row>
    <row r="86">
      <c r="A86" s="9">
        <v>85.0</v>
      </c>
      <c r="B86" s="91" t="s">
        <v>399</v>
      </c>
      <c r="C86" s="91" t="s">
        <v>776</v>
      </c>
      <c r="D86" s="91" t="s">
        <v>131</v>
      </c>
      <c r="E86" s="91" t="s">
        <v>35</v>
      </c>
      <c r="F86" s="105">
        <v>46227.0</v>
      </c>
      <c r="G86" s="91" t="s">
        <v>777</v>
      </c>
      <c r="H86" s="91" t="s">
        <v>778</v>
      </c>
      <c r="I86" s="91" t="s">
        <v>779</v>
      </c>
      <c r="J86" s="91" t="s">
        <v>113</v>
      </c>
      <c r="K86" s="91" t="s">
        <v>780</v>
      </c>
      <c r="L86" s="107">
        <v>2.34702524344E12</v>
      </c>
      <c r="M86" s="91" t="s">
        <v>781</v>
      </c>
      <c r="N86" s="91" t="s">
        <v>245</v>
      </c>
      <c r="O86" s="91" t="s">
        <v>113</v>
      </c>
      <c r="P86" s="106">
        <v>0.5</v>
      </c>
      <c r="Q86" s="91" t="s">
        <v>397</v>
      </c>
      <c r="R86" s="91" t="s">
        <v>397</v>
      </c>
      <c r="S86" s="96" t="s">
        <v>782</v>
      </c>
      <c r="T86" s="91" t="s">
        <v>755</v>
      </c>
    </row>
    <row r="87">
      <c r="A87" s="9">
        <v>86.0</v>
      </c>
      <c r="B87" s="108" t="s">
        <v>596</v>
      </c>
      <c r="C87" s="91" t="s">
        <v>597</v>
      </c>
      <c r="D87" s="91" t="s">
        <v>131</v>
      </c>
      <c r="E87" s="91" t="s">
        <v>35</v>
      </c>
      <c r="F87" s="105">
        <v>46221.0</v>
      </c>
      <c r="G87" s="91" t="s">
        <v>783</v>
      </c>
      <c r="H87" s="91" t="s">
        <v>784</v>
      </c>
      <c r="I87" s="91" t="s">
        <v>785</v>
      </c>
      <c r="J87" s="91" t="s">
        <v>113</v>
      </c>
      <c r="K87" s="91" t="s">
        <v>786</v>
      </c>
      <c r="L87" s="107">
        <v>2.349118005882E12</v>
      </c>
      <c r="M87" s="91" t="s">
        <v>787</v>
      </c>
      <c r="N87" s="91" t="s">
        <v>788</v>
      </c>
      <c r="O87" s="91" t="s">
        <v>113</v>
      </c>
      <c r="P87" s="106">
        <v>0.84</v>
      </c>
      <c r="Q87" s="91" t="s">
        <v>397</v>
      </c>
      <c r="R87" s="91" t="s">
        <v>397</v>
      </c>
      <c r="S87" s="96" t="s">
        <v>789</v>
      </c>
      <c r="T87" s="91" t="s">
        <v>755</v>
      </c>
    </row>
    <row r="88">
      <c r="A88" s="9">
        <v>87.0</v>
      </c>
      <c r="B88" s="91" t="s">
        <v>790</v>
      </c>
      <c r="C88" s="91" t="s">
        <v>791</v>
      </c>
      <c r="D88" s="91" t="s">
        <v>131</v>
      </c>
      <c r="E88" s="91" t="s">
        <v>35</v>
      </c>
      <c r="F88" s="105">
        <v>46216.0</v>
      </c>
      <c r="G88" s="91" t="s">
        <v>792</v>
      </c>
      <c r="H88" s="91" t="s">
        <v>793</v>
      </c>
      <c r="I88" s="91" t="s">
        <v>794</v>
      </c>
      <c r="J88" s="91" t="s">
        <v>113</v>
      </c>
      <c r="K88" s="91" t="s">
        <v>795</v>
      </c>
      <c r="L88" s="91" t="s">
        <v>796</v>
      </c>
      <c r="M88" s="91" t="s">
        <v>797</v>
      </c>
      <c r="N88" s="91" t="s">
        <v>798</v>
      </c>
      <c r="O88" s="91" t="s">
        <v>113</v>
      </c>
      <c r="P88" s="106">
        <v>0.75</v>
      </c>
      <c r="Q88" s="91" t="s">
        <v>397</v>
      </c>
      <c r="R88" s="91" t="s">
        <v>397</v>
      </c>
      <c r="S88" s="96" t="s">
        <v>799</v>
      </c>
      <c r="T88" s="91" t="s">
        <v>755</v>
      </c>
    </row>
    <row r="89">
      <c r="A89" s="9">
        <v>88.0</v>
      </c>
      <c r="B89" s="91" t="s">
        <v>800</v>
      </c>
      <c r="C89" s="91" t="s">
        <v>801</v>
      </c>
      <c r="D89" s="91" t="s">
        <v>131</v>
      </c>
      <c r="E89" s="91" t="s">
        <v>363</v>
      </c>
      <c r="F89" s="105">
        <v>46216.0</v>
      </c>
      <c r="G89" s="91" t="s">
        <v>802</v>
      </c>
      <c r="H89" s="91" t="s">
        <v>803</v>
      </c>
      <c r="I89" s="91" t="s">
        <v>804</v>
      </c>
      <c r="J89" s="91" t="s">
        <v>113</v>
      </c>
      <c r="K89" s="91" t="s">
        <v>805</v>
      </c>
      <c r="L89" s="107">
        <v>2.341618843E12</v>
      </c>
      <c r="M89" s="91" t="s">
        <v>806</v>
      </c>
      <c r="N89" s="91" t="s">
        <v>245</v>
      </c>
      <c r="O89" s="91" t="s">
        <v>113</v>
      </c>
      <c r="P89" s="106">
        <v>0.85</v>
      </c>
      <c r="Q89" s="91" t="s">
        <v>397</v>
      </c>
      <c r="R89" s="91" t="s">
        <v>397</v>
      </c>
      <c r="S89" s="96" t="s">
        <v>807</v>
      </c>
      <c r="T89" s="91" t="s">
        <v>808</v>
      </c>
    </row>
    <row r="90">
      <c r="A90" s="9">
        <v>89.0</v>
      </c>
      <c r="B90" s="91" t="s">
        <v>399</v>
      </c>
      <c r="C90" s="91" t="s">
        <v>809</v>
      </c>
      <c r="D90" s="91" t="s">
        <v>131</v>
      </c>
      <c r="E90" s="91" t="s">
        <v>363</v>
      </c>
      <c r="F90" s="105">
        <v>46216.0</v>
      </c>
      <c r="G90" s="91" t="s">
        <v>810</v>
      </c>
      <c r="H90" s="91" t="s">
        <v>811</v>
      </c>
      <c r="I90" s="91" t="s">
        <v>812</v>
      </c>
      <c r="J90" s="91" t="s">
        <v>113</v>
      </c>
      <c r="K90" s="91" t="s">
        <v>813</v>
      </c>
      <c r="L90" s="107">
        <v>2.349152563229E12</v>
      </c>
      <c r="M90" s="91" t="s">
        <v>814</v>
      </c>
      <c r="N90" s="91" t="s">
        <v>815</v>
      </c>
      <c r="O90" s="91" t="s">
        <v>113</v>
      </c>
      <c r="P90" s="106">
        <v>0.6</v>
      </c>
      <c r="Q90" s="91" t="s">
        <v>397</v>
      </c>
      <c r="R90" s="91" t="s">
        <v>397</v>
      </c>
      <c r="S90" s="96" t="s">
        <v>816</v>
      </c>
      <c r="T90" s="91" t="s">
        <v>808</v>
      </c>
    </row>
    <row r="91">
      <c r="A91" s="9">
        <v>90.0</v>
      </c>
      <c r="B91" s="91" t="s">
        <v>216</v>
      </c>
      <c r="C91" s="91" t="s">
        <v>817</v>
      </c>
      <c r="D91" s="91" t="s">
        <v>131</v>
      </c>
      <c r="E91" s="91" t="s">
        <v>363</v>
      </c>
      <c r="F91" s="105">
        <v>46216.0</v>
      </c>
      <c r="G91" s="91" t="s">
        <v>818</v>
      </c>
      <c r="H91" s="91" t="s">
        <v>819</v>
      </c>
      <c r="I91" s="91" t="s">
        <v>820</v>
      </c>
      <c r="J91" s="91" t="s">
        <v>113</v>
      </c>
      <c r="K91" s="91" t="s">
        <v>821</v>
      </c>
      <c r="L91" s="107">
        <v>2.349090009327E12</v>
      </c>
      <c r="M91" s="91" t="s">
        <v>822</v>
      </c>
      <c r="N91" s="91" t="s">
        <v>823</v>
      </c>
      <c r="O91" s="91" t="s">
        <v>113</v>
      </c>
      <c r="P91" s="106">
        <v>0.72</v>
      </c>
      <c r="Q91" s="91" t="s">
        <v>397</v>
      </c>
      <c r="R91" s="91" t="s">
        <v>397</v>
      </c>
      <c r="S91" s="96" t="s">
        <v>816</v>
      </c>
      <c r="T91" s="91" t="s">
        <v>808</v>
      </c>
    </row>
    <row r="92">
      <c r="A92" s="9">
        <v>91.0</v>
      </c>
      <c r="B92" s="91" t="s">
        <v>824</v>
      </c>
      <c r="C92" s="91" t="s">
        <v>825</v>
      </c>
      <c r="D92" s="91" t="s">
        <v>131</v>
      </c>
      <c r="E92" s="91" t="s">
        <v>363</v>
      </c>
      <c r="F92" s="105">
        <v>46216.0</v>
      </c>
      <c r="G92" s="91" t="s">
        <v>826</v>
      </c>
      <c r="H92" s="91" t="s">
        <v>827</v>
      </c>
      <c r="I92" s="91" t="s">
        <v>828</v>
      </c>
      <c r="J92" s="91" t="s">
        <v>113</v>
      </c>
      <c r="K92" s="91" t="s">
        <v>829</v>
      </c>
      <c r="L92" s="107">
        <v>2.34904939103E12</v>
      </c>
      <c r="M92" s="91" t="s">
        <v>830</v>
      </c>
      <c r="N92" s="91" t="s">
        <v>831</v>
      </c>
      <c r="O92" s="91" t="s">
        <v>113</v>
      </c>
      <c r="P92" s="106">
        <v>0.68</v>
      </c>
      <c r="Q92" s="91" t="s">
        <v>397</v>
      </c>
      <c r="R92" s="91" t="s">
        <v>397</v>
      </c>
      <c r="S92" s="96" t="s">
        <v>832</v>
      </c>
      <c r="T92" s="91" t="s">
        <v>808</v>
      </c>
    </row>
    <row r="93">
      <c r="A93" s="9">
        <v>92.0</v>
      </c>
      <c r="B93" s="9" t="s">
        <v>833</v>
      </c>
      <c r="C93" s="25" t="s">
        <v>834</v>
      </c>
      <c r="D93" s="9" t="s">
        <v>416</v>
      </c>
      <c r="F93" s="9" t="s">
        <v>835</v>
      </c>
      <c r="G93" s="109" t="s">
        <v>836</v>
      </c>
      <c r="H93" s="109" t="s">
        <v>837</v>
      </c>
      <c r="I93" s="109" t="s">
        <v>838</v>
      </c>
      <c r="J93" s="9" t="s">
        <v>380</v>
      </c>
      <c r="K93" s="9" t="s">
        <v>839</v>
      </c>
      <c r="L93" s="110" t="s">
        <v>840</v>
      </c>
      <c r="M93" s="9" t="s">
        <v>841</v>
      </c>
      <c r="N93" s="111" t="s">
        <v>842</v>
      </c>
      <c r="O93" s="25" t="s">
        <v>843</v>
      </c>
      <c r="P93" s="32">
        <v>0.45</v>
      </c>
      <c r="Q93" s="9" t="s">
        <v>127</v>
      </c>
      <c r="R93" s="9" t="s">
        <v>127</v>
      </c>
      <c r="S93" s="25" t="s">
        <v>844</v>
      </c>
      <c r="T93" s="9" t="s">
        <v>845</v>
      </c>
    </row>
    <row r="94">
      <c r="A94" s="9">
        <v>93.0</v>
      </c>
      <c r="B94" s="9" t="s">
        <v>846</v>
      </c>
      <c r="C94" s="9" t="s">
        <v>847</v>
      </c>
      <c r="D94" s="9" t="s">
        <v>848</v>
      </c>
      <c r="F94" s="9" t="s">
        <v>849</v>
      </c>
      <c r="G94" s="109" t="s">
        <v>850</v>
      </c>
      <c r="H94" s="9" t="s">
        <v>851</v>
      </c>
      <c r="I94" s="109" t="s">
        <v>852</v>
      </c>
      <c r="J94" s="9" t="s">
        <v>380</v>
      </c>
      <c r="K94" s="9" t="s">
        <v>43</v>
      </c>
      <c r="L94" s="112" t="s">
        <v>853</v>
      </c>
      <c r="N94" s="113" t="s">
        <v>854</v>
      </c>
      <c r="O94" s="9" t="s">
        <v>855</v>
      </c>
      <c r="P94" s="32">
        <v>0.5</v>
      </c>
      <c r="Q94" s="9" t="s">
        <v>127</v>
      </c>
      <c r="R94" s="9" t="s">
        <v>127</v>
      </c>
      <c r="S94" s="25" t="s">
        <v>856</v>
      </c>
      <c r="T94" s="9" t="s">
        <v>845</v>
      </c>
    </row>
    <row r="95">
      <c r="A95" s="9">
        <v>94.0</v>
      </c>
      <c r="B95" s="9" t="s">
        <v>857</v>
      </c>
      <c r="C95" s="9" t="s">
        <v>858</v>
      </c>
      <c r="D95" s="9" t="s">
        <v>416</v>
      </c>
      <c r="F95" s="9" t="s">
        <v>849</v>
      </c>
      <c r="G95" s="114" t="s">
        <v>859</v>
      </c>
      <c r="H95" s="109" t="s">
        <v>860</v>
      </c>
      <c r="I95" s="109" t="s">
        <v>861</v>
      </c>
      <c r="J95" s="9" t="s">
        <v>380</v>
      </c>
      <c r="K95" s="9" t="s">
        <v>862</v>
      </c>
      <c r="L95" s="9" t="s">
        <v>863</v>
      </c>
      <c r="M95" s="9" t="s">
        <v>864</v>
      </c>
      <c r="N95" s="115" t="s">
        <v>865</v>
      </c>
      <c r="O95" s="9" t="s">
        <v>866</v>
      </c>
      <c r="P95" s="32">
        <v>0.55</v>
      </c>
      <c r="Q95" s="9" t="s">
        <v>127</v>
      </c>
      <c r="R95" s="9" t="s">
        <v>127</v>
      </c>
      <c r="S95" s="25" t="s">
        <v>867</v>
      </c>
      <c r="T95" s="9" t="s">
        <v>845</v>
      </c>
    </row>
    <row r="96">
      <c r="A96" s="9">
        <v>95.0</v>
      </c>
      <c r="B96" s="9" t="s">
        <v>868</v>
      </c>
      <c r="C96" s="9" t="s">
        <v>869</v>
      </c>
      <c r="D96" s="9" t="s">
        <v>416</v>
      </c>
      <c r="F96" s="9" t="s">
        <v>849</v>
      </c>
      <c r="G96" s="109" t="s">
        <v>870</v>
      </c>
      <c r="H96" s="109" t="s">
        <v>871</v>
      </c>
      <c r="I96" s="109" t="s">
        <v>852</v>
      </c>
      <c r="J96" s="9" t="s">
        <v>380</v>
      </c>
      <c r="K96" s="9" t="s">
        <v>872</v>
      </c>
      <c r="N96" s="116" t="s">
        <v>873</v>
      </c>
      <c r="O96" s="25" t="s">
        <v>874</v>
      </c>
      <c r="P96" s="32">
        <v>0.5</v>
      </c>
      <c r="Q96" s="9" t="s">
        <v>127</v>
      </c>
      <c r="R96" s="9" t="s">
        <v>127</v>
      </c>
      <c r="S96" s="25" t="s">
        <v>875</v>
      </c>
      <c r="T96" s="9" t="s">
        <v>845</v>
      </c>
    </row>
    <row r="97">
      <c r="A97" s="9">
        <v>96.0</v>
      </c>
      <c r="B97" s="9" t="s">
        <v>876</v>
      </c>
      <c r="C97" s="9" t="s">
        <v>869</v>
      </c>
      <c r="D97" s="9" t="s">
        <v>416</v>
      </c>
      <c r="F97" s="9" t="s">
        <v>877</v>
      </c>
      <c r="G97" s="117" t="s">
        <v>878</v>
      </c>
      <c r="H97" s="118" t="s">
        <v>879</v>
      </c>
      <c r="I97" s="116" t="s">
        <v>852</v>
      </c>
      <c r="J97" s="9" t="s">
        <v>380</v>
      </c>
      <c r="K97" s="9" t="s">
        <v>872</v>
      </c>
      <c r="N97" s="116" t="s">
        <v>873</v>
      </c>
      <c r="O97" s="25" t="s">
        <v>874</v>
      </c>
      <c r="P97" s="32">
        <v>0.5</v>
      </c>
      <c r="Q97" s="9" t="s">
        <v>127</v>
      </c>
      <c r="R97" s="9" t="s">
        <v>127</v>
      </c>
      <c r="S97" s="25" t="s">
        <v>880</v>
      </c>
      <c r="T97" s="9" t="s">
        <v>881</v>
      </c>
    </row>
    <row r="98">
      <c r="A98" s="9">
        <v>97.0</v>
      </c>
      <c r="B98" s="9" t="s">
        <v>882</v>
      </c>
      <c r="C98" s="9" t="s">
        <v>883</v>
      </c>
      <c r="D98" s="9" t="s">
        <v>416</v>
      </c>
      <c r="F98" s="9" t="s">
        <v>849</v>
      </c>
      <c r="G98" s="109" t="s">
        <v>884</v>
      </c>
      <c r="H98" s="109" t="s">
        <v>885</v>
      </c>
      <c r="I98" s="109" t="s">
        <v>852</v>
      </c>
      <c r="J98" s="9" t="s">
        <v>380</v>
      </c>
      <c r="K98" s="9" t="s">
        <v>886</v>
      </c>
      <c r="L98" s="119" t="s">
        <v>887</v>
      </c>
      <c r="N98" s="9" t="s">
        <v>888</v>
      </c>
      <c r="O98" s="25" t="s">
        <v>889</v>
      </c>
      <c r="P98" s="32">
        <v>0.4</v>
      </c>
      <c r="Q98" s="9" t="s">
        <v>127</v>
      </c>
      <c r="R98" s="9" t="s">
        <v>127</v>
      </c>
      <c r="S98" s="25" t="s">
        <v>890</v>
      </c>
      <c r="T98" s="9" t="s">
        <v>845</v>
      </c>
    </row>
    <row r="99">
      <c r="A99" s="9">
        <v>98.0</v>
      </c>
      <c r="B99" s="9" t="s">
        <v>891</v>
      </c>
      <c r="C99" s="9" t="s">
        <v>892</v>
      </c>
      <c r="D99" s="9" t="s">
        <v>131</v>
      </c>
      <c r="F99" s="9" t="s">
        <v>849</v>
      </c>
      <c r="G99" s="9" t="s">
        <v>893</v>
      </c>
      <c r="I99" s="109" t="s">
        <v>894</v>
      </c>
      <c r="J99" s="9" t="s">
        <v>380</v>
      </c>
      <c r="K99" s="9" t="s">
        <v>895</v>
      </c>
      <c r="L99" s="109" t="s">
        <v>896</v>
      </c>
      <c r="M99" s="120" t="s">
        <v>897</v>
      </c>
      <c r="N99" s="9" t="s">
        <v>898</v>
      </c>
      <c r="O99" s="25" t="s">
        <v>899</v>
      </c>
      <c r="P99" s="32">
        <v>0.45</v>
      </c>
      <c r="Q99" s="9" t="s">
        <v>127</v>
      </c>
      <c r="R99" s="9" t="s">
        <v>127</v>
      </c>
      <c r="S99" s="25" t="s">
        <v>900</v>
      </c>
      <c r="T99" s="9" t="s">
        <v>845</v>
      </c>
    </row>
    <row r="100">
      <c r="A100" s="9">
        <v>99.0</v>
      </c>
      <c r="B100" s="9" t="s">
        <v>901</v>
      </c>
      <c r="C100" s="9" t="s">
        <v>902</v>
      </c>
      <c r="D100" s="9" t="s">
        <v>131</v>
      </c>
      <c r="F100" s="9" t="s">
        <v>849</v>
      </c>
      <c r="G100" s="9" t="s">
        <v>893</v>
      </c>
      <c r="I100" s="109" t="s">
        <v>903</v>
      </c>
      <c r="J100" s="9" t="s">
        <v>380</v>
      </c>
      <c r="K100" s="9" t="s">
        <v>839</v>
      </c>
      <c r="L100" s="9" t="s">
        <v>904</v>
      </c>
      <c r="M100" s="9" t="s">
        <v>905</v>
      </c>
      <c r="N100" s="9" t="s">
        <v>906</v>
      </c>
      <c r="P100" s="32">
        <v>0.6</v>
      </c>
      <c r="Q100" s="9" t="s">
        <v>127</v>
      </c>
      <c r="R100" s="9" t="s">
        <v>127</v>
      </c>
      <c r="S100" s="25" t="s">
        <v>907</v>
      </c>
      <c r="T100" s="9" t="s">
        <v>845</v>
      </c>
    </row>
    <row r="101">
      <c r="A101" s="9">
        <v>100.0</v>
      </c>
      <c r="B101" s="9" t="s">
        <v>908</v>
      </c>
      <c r="C101" s="9" t="s">
        <v>909</v>
      </c>
      <c r="D101" s="9" t="s">
        <v>131</v>
      </c>
      <c r="F101" s="9" t="s">
        <v>849</v>
      </c>
      <c r="G101" s="109" t="s">
        <v>910</v>
      </c>
      <c r="H101" s="121" t="s">
        <v>911</v>
      </c>
      <c r="I101" s="109" t="s">
        <v>912</v>
      </c>
      <c r="J101" s="9" t="s">
        <v>380</v>
      </c>
      <c r="K101" s="9" t="s">
        <v>913</v>
      </c>
      <c r="L101" s="9" t="s">
        <v>914</v>
      </c>
      <c r="M101" s="9" t="s">
        <v>915</v>
      </c>
      <c r="N101" s="122" t="s">
        <v>916</v>
      </c>
      <c r="O101" s="25" t="s">
        <v>917</v>
      </c>
      <c r="Q101" s="9" t="s">
        <v>127</v>
      </c>
      <c r="R101" s="9" t="s">
        <v>127</v>
      </c>
      <c r="S101" s="25" t="s">
        <v>918</v>
      </c>
      <c r="T101" s="9" t="s">
        <v>845</v>
      </c>
    </row>
    <row r="102">
      <c r="A102" s="9">
        <v>101.0</v>
      </c>
      <c r="B102" s="9" t="s">
        <v>233</v>
      </c>
      <c r="C102" s="9" t="s">
        <v>919</v>
      </c>
      <c r="D102" s="9" t="s">
        <v>416</v>
      </c>
      <c r="F102" s="9" t="s">
        <v>849</v>
      </c>
      <c r="G102" s="109" t="s">
        <v>920</v>
      </c>
      <c r="H102" s="109" t="s">
        <v>921</v>
      </c>
      <c r="I102" s="9" t="s">
        <v>250</v>
      </c>
      <c r="J102" s="9" t="s">
        <v>380</v>
      </c>
      <c r="K102" s="9" t="s">
        <v>922</v>
      </c>
      <c r="L102" s="119" t="s">
        <v>923</v>
      </c>
      <c r="N102" s="9" t="s">
        <v>924</v>
      </c>
      <c r="P102" s="32">
        <v>0.3</v>
      </c>
      <c r="Q102" s="9" t="s">
        <v>127</v>
      </c>
      <c r="R102" s="9" t="s">
        <v>127</v>
      </c>
      <c r="S102" s="25" t="s">
        <v>925</v>
      </c>
      <c r="T102" s="9" t="s">
        <v>845</v>
      </c>
    </row>
    <row r="103">
      <c r="A103" s="9">
        <v>102.0</v>
      </c>
      <c r="B103" s="9" t="s">
        <v>926</v>
      </c>
      <c r="C103" s="9" t="s">
        <v>927</v>
      </c>
      <c r="D103" s="9" t="s">
        <v>34</v>
      </c>
      <c r="E103" s="9" t="s">
        <v>928</v>
      </c>
      <c r="F103" s="9" t="s">
        <v>849</v>
      </c>
      <c r="G103" s="123" t="s">
        <v>929</v>
      </c>
      <c r="H103" s="123" t="s">
        <v>930</v>
      </c>
      <c r="I103" s="124" t="s">
        <v>852</v>
      </c>
      <c r="J103" s="125" t="s">
        <v>931</v>
      </c>
      <c r="K103" s="9" t="s">
        <v>932</v>
      </c>
      <c r="L103" s="126" t="s">
        <v>933</v>
      </c>
      <c r="N103" s="127" t="s">
        <v>934</v>
      </c>
      <c r="O103" s="9" t="s">
        <v>935</v>
      </c>
      <c r="P103" s="32">
        <v>0.65</v>
      </c>
      <c r="Q103" s="9" t="s">
        <v>127</v>
      </c>
      <c r="R103" s="9" t="s">
        <v>127</v>
      </c>
      <c r="S103" s="25" t="s">
        <v>936</v>
      </c>
      <c r="T103" s="9" t="s">
        <v>937</v>
      </c>
    </row>
    <row r="104">
      <c r="A104" s="9">
        <v>103.0</v>
      </c>
      <c r="B104" s="9" t="s">
        <v>938</v>
      </c>
      <c r="C104" s="9" t="s">
        <v>939</v>
      </c>
      <c r="D104" s="9" t="s">
        <v>568</v>
      </c>
      <c r="E104" s="9" t="s">
        <v>940</v>
      </c>
      <c r="F104" s="9" t="s">
        <v>849</v>
      </c>
      <c r="G104" s="128" t="s">
        <v>941</v>
      </c>
      <c r="I104" s="129" t="s">
        <v>942</v>
      </c>
      <c r="J104" s="130" t="s">
        <v>262</v>
      </c>
      <c r="K104" s="9" t="s">
        <v>943</v>
      </c>
      <c r="L104" s="131" t="s">
        <v>944</v>
      </c>
      <c r="M104" s="132" t="s">
        <v>945</v>
      </c>
      <c r="N104" s="133" t="s">
        <v>946</v>
      </c>
      <c r="O104" s="9" t="s">
        <v>947</v>
      </c>
      <c r="P104" s="32">
        <v>0.6</v>
      </c>
      <c r="Q104" s="9" t="s">
        <v>127</v>
      </c>
      <c r="R104" s="9" t="s">
        <v>127</v>
      </c>
      <c r="S104" s="25" t="s">
        <v>948</v>
      </c>
      <c r="T104" s="9" t="s">
        <v>949</v>
      </c>
    </row>
    <row r="105">
      <c r="A105" s="9">
        <v>104.0</v>
      </c>
      <c r="B105" s="91" t="s">
        <v>950</v>
      </c>
      <c r="C105" s="91" t="s">
        <v>951</v>
      </c>
      <c r="D105" s="91" t="s">
        <v>131</v>
      </c>
      <c r="E105" s="91" t="s">
        <v>89</v>
      </c>
      <c r="F105" s="105">
        <v>46217.0</v>
      </c>
      <c r="G105" s="91" t="s">
        <v>952</v>
      </c>
      <c r="H105" s="91" t="s">
        <v>953</v>
      </c>
      <c r="I105" s="91" t="s">
        <v>954</v>
      </c>
      <c r="J105" s="91" t="s">
        <v>955</v>
      </c>
      <c r="K105" s="91" t="s">
        <v>956</v>
      </c>
      <c r="L105" s="107">
        <v>2.34906961965E12</v>
      </c>
      <c r="M105" s="91" t="s">
        <v>957</v>
      </c>
      <c r="N105" s="91" t="s">
        <v>958</v>
      </c>
      <c r="O105" s="134"/>
      <c r="P105" s="94">
        <v>0.8</v>
      </c>
      <c r="Q105" s="91" t="s">
        <v>397</v>
      </c>
      <c r="R105" s="91" t="s">
        <v>397</v>
      </c>
      <c r="S105" s="96" t="s">
        <v>832</v>
      </c>
      <c r="T105" s="91" t="s">
        <v>808</v>
      </c>
    </row>
    <row r="106">
      <c r="A106" s="9">
        <v>105.0</v>
      </c>
      <c r="B106" s="91" t="s">
        <v>959</v>
      </c>
      <c r="C106" s="91" t="s">
        <v>960</v>
      </c>
      <c r="D106" s="91" t="s">
        <v>131</v>
      </c>
      <c r="E106" s="91" t="s">
        <v>308</v>
      </c>
      <c r="F106" s="105">
        <v>46217.0</v>
      </c>
      <c r="G106" s="91" t="s">
        <v>961</v>
      </c>
      <c r="H106" s="91" t="s">
        <v>962</v>
      </c>
      <c r="I106" s="91" t="s">
        <v>963</v>
      </c>
      <c r="J106" s="91" t="s">
        <v>964</v>
      </c>
      <c r="K106" s="91" t="s">
        <v>965</v>
      </c>
      <c r="L106" s="107">
        <v>7.028108251E9</v>
      </c>
      <c r="M106" s="93"/>
      <c r="N106" s="91" t="s">
        <v>966</v>
      </c>
      <c r="O106" s="96" t="s">
        <v>967</v>
      </c>
      <c r="P106" s="94">
        <v>0.8</v>
      </c>
      <c r="Q106" s="91" t="s">
        <v>397</v>
      </c>
      <c r="R106" s="91" t="s">
        <v>397</v>
      </c>
      <c r="S106" s="96" t="s">
        <v>968</v>
      </c>
      <c r="T106" s="96" t="s">
        <v>969</v>
      </c>
    </row>
    <row r="107">
      <c r="A107" s="9">
        <v>106.0</v>
      </c>
      <c r="B107" s="91" t="s">
        <v>257</v>
      </c>
      <c r="C107" s="91" t="s">
        <v>970</v>
      </c>
      <c r="D107" s="91" t="s">
        <v>131</v>
      </c>
      <c r="E107" s="91" t="s">
        <v>308</v>
      </c>
      <c r="F107" s="105">
        <v>46217.0</v>
      </c>
      <c r="G107" s="91" t="s">
        <v>971</v>
      </c>
      <c r="H107" s="91" t="s">
        <v>972</v>
      </c>
      <c r="I107" s="91" t="s">
        <v>973</v>
      </c>
      <c r="J107" s="91" t="s">
        <v>974</v>
      </c>
      <c r="K107" s="91" t="s">
        <v>975</v>
      </c>
      <c r="L107" s="107">
        <v>2.54788252882E11</v>
      </c>
      <c r="M107" s="91" t="s">
        <v>976</v>
      </c>
      <c r="N107" s="91" t="s">
        <v>977</v>
      </c>
      <c r="O107" s="96" t="s">
        <v>978</v>
      </c>
      <c r="P107" s="94">
        <v>0.3</v>
      </c>
      <c r="Q107" s="91" t="s">
        <v>397</v>
      </c>
      <c r="R107" s="91" t="s">
        <v>397</v>
      </c>
      <c r="S107" s="96" t="s">
        <v>979</v>
      </c>
      <c r="T107" s="96" t="s">
        <v>969</v>
      </c>
    </row>
    <row r="108">
      <c r="A108" s="9">
        <v>107.0</v>
      </c>
      <c r="B108" s="91" t="s">
        <v>980</v>
      </c>
      <c r="C108" s="91" t="s">
        <v>981</v>
      </c>
      <c r="D108" s="91" t="s">
        <v>362</v>
      </c>
      <c r="E108" s="91" t="s">
        <v>308</v>
      </c>
      <c r="F108" s="105">
        <v>46217.0</v>
      </c>
      <c r="G108" s="91" t="s">
        <v>982</v>
      </c>
      <c r="H108" s="91" t="s">
        <v>983</v>
      </c>
      <c r="I108" s="91" t="s">
        <v>984</v>
      </c>
      <c r="J108" s="91" t="s">
        <v>985</v>
      </c>
      <c r="K108" s="91" t="s">
        <v>78</v>
      </c>
      <c r="L108" s="107">
        <v>2.12529023049E11</v>
      </c>
      <c r="M108" s="93"/>
      <c r="N108" s="91" t="s">
        <v>986</v>
      </c>
      <c r="O108" s="134"/>
      <c r="P108" s="94">
        <v>0.6</v>
      </c>
      <c r="Q108" s="135" t="s">
        <v>255</v>
      </c>
      <c r="R108" s="135" t="s">
        <v>255</v>
      </c>
      <c r="S108" s="96" t="s">
        <v>987</v>
      </c>
      <c r="T108" s="91" t="s">
        <v>988</v>
      </c>
    </row>
    <row r="109">
      <c r="A109" s="9">
        <v>108.0</v>
      </c>
      <c r="B109" s="91" t="s">
        <v>989</v>
      </c>
      <c r="C109" s="91" t="s">
        <v>990</v>
      </c>
      <c r="D109" s="91" t="s">
        <v>416</v>
      </c>
      <c r="E109" s="91" t="s">
        <v>89</v>
      </c>
      <c r="F109" s="105">
        <v>46216.0</v>
      </c>
      <c r="G109" s="91" t="s">
        <v>991</v>
      </c>
      <c r="H109" s="91" t="s">
        <v>992</v>
      </c>
      <c r="I109" s="91" t="s">
        <v>993</v>
      </c>
      <c r="J109" s="91" t="s">
        <v>985</v>
      </c>
      <c r="K109" s="91" t="s">
        <v>90</v>
      </c>
      <c r="L109" s="93">
        <f>+254706221221</f>
        <v>254706221221</v>
      </c>
      <c r="M109" s="95"/>
      <c r="N109" s="136" t="e">
        <v>#N/A</v>
      </c>
      <c r="O109" s="134"/>
      <c r="P109" s="94">
        <v>0.8</v>
      </c>
      <c r="Q109" s="135" t="s">
        <v>255</v>
      </c>
      <c r="R109" s="135" t="s">
        <v>255</v>
      </c>
      <c r="S109" s="96" t="s">
        <v>994</v>
      </c>
      <c r="T109" s="91" t="s">
        <v>995</v>
      </c>
    </row>
    <row r="110">
      <c r="A110" s="9">
        <v>109.0</v>
      </c>
      <c r="B110" s="91" t="s">
        <v>996</v>
      </c>
      <c r="C110" s="91" t="s">
        <v>997</v>
      </c>
      <c r="D110" s="91" t="s">
        <v>416</v>
      </c>
      <c r="E110" s="91" t="s">
        <v>998</v>
      </c>
      <c r="F110" s="105">
        <v>46216.0</v>
      </c>
      <c r="G110" s="91" t="s">
        <v>999</v>
      </c>
      <c r="H110" s="91" t="s">
        <v>1000</v>
      </c>
      <c r="I110" s="91" t="s">
        <v>1001</v>
      </c>
      <c r="J110" s="91" t="s">
        <v>985</v>
      </c>
      <c r="K110" s="91" t="s">
        <v>1002</v>
      </c>
      <c r="L110" s="107">
        <v>2.54762781781E11</v>
      </c>
      <c r="M110" s="91" t="s">
        <v>1003</v>
      </c>
      <c r="N110" s="91" t="s">
        <v>1004</v>
      </c>
      <c r="O110" s="134"/>
      <c r="P110" s="94">
        <v>1.0</v>
      </c>
      <c r="Q110" s="135" t="s">
        <v>255</v>
      </c>
      <c r="R110" s="135" t="s">
        <v>255</v>
      </c>
      <c r="S110" s="96" t="s">
        <v>1005</v>
      </c>
      <c r="T110" s="91" t="s">
        <v>995</v>
      </c>
    </row>
    <row r="111">
      <c r="A111" s="9">
        <v>110.0</v>
      </c>
      <c r="B111" s="91" t="s">
        <v>1006</v>
      </c>
      <c r="C111" s="91" t="s">
        <v>1007</v>
      </c>
      <c r="D111" s="91" t="s">
        <v>416</v>
      </c>
      <c r="E111" s="91" t="s">
        <v>89</v>
      </c>
      <c r="F111" s="105">
        <v>46217.0</v>
      </c>
      <c r="G111" s="91" t="s">
        <v>1008</v>
      </c>
      <c r="H111" s="91" t="s">
        <v>1009</v>
      </c>
      <c r="I111" s="91" t="s">
        <v>1010</v>
      </c>
      <c r="J111" s="91" t="s">
        <v>985</v>
      </c>
      <c r="K111" s="91" t="s">
        <v>1011</v>
      </c>
      <c r="L111" s="93"/>
      <c r="M111" s="93"/>
      <c r="N111" s="91" t="s">
        <v>1012</v>
      </c>
      <c r="O111" s="93"/>
      <c r="P111" s="91" t="s">
        <v>985</v>
      </c>
      <c r="Q111" s="135" t="s">
        <v>255</v>
      </c>
      <c r="R111" s="135" t="s">
        <v>255</v>
      </c>
      <c r="S111" s="96" t="s">
        <v>1013</v>
      </c>
      <c r="T111" s="91" t="s">
        <v>1014</v>
      </c>
    </row>
    <row r="112">
      <c r="A112" s="9">
        <v>111.0</v>
      </c>
      <c r="B112" s="91" t="s">
        <v>129</v>
      </c>
      <c r="C112" s="91" t="s">
        <v>1015</v>
      </c>
      <c r="D112" s="91" t="s">
        <v>131</v>
      </c>
      <c r="E112" s="91" t="s">
        <v>1016</v>
      </c>
      <c r="F112" s="105">
        <v>46217.0</v>
      </c>
      <c r="G112" s="91" t="s">
        <v>1017</v>
      </c>
      <c r="H112" s="91" t="s">
        <v>1018</v>
      </c>
      <c r="I112" s="91" t="s">
        <v>1019</v>
      </c>
      <c r="J112" s="91" t="s">
        <v>985</v>
      </c>
      <c r="K112" s="91" t="s">
        <v>1020</v>
      </c>
      <c r="L112" s="107">
        <v>2.3412957715E10</v>
      </c>
      <c r="M112" s="91" t="s">
        <v>1021</v>
      </c>
      <c r="N112" s="91" t="s">
        <v>1022</v>
      </c>
      <c r="O112" s="134"/>
      <c r="P112" s="94">
        <v>0.5</v>
      </c>
      <c r="Q112" s="135" t="s">
        <v>255</v>
      </c>
      <c r="R112" s="135" t="s">
        <v>255</v>
      </c>
      <c r="S112" s="96" t="s">
        <v>1023</v>
      </c>
      <c r="T112" s="91" t="s">
        <v>1024</v>
      </c>
    </row>
    <row r="113">
      <c r="A113" s="9">
        <v>112.0</v>
      </c>
      <c r="B113" s="91" t="s">
        <v>233</v>
      </c>
      <c r="C113" s="91" t="s">
        <v>234</v>
      </c>
      <c r="D113" s="91" t="s">
        <v>416</v>
      </c>
      <c r="E113" s="91" t="s">
        <v>308</v>
      </c>
      <c r="F113" s="105">
        <v>46217.0</v>
      </c>
      <c r="G113" s="91" t="s">
        <v>1025</v>
      </c>
      <c r="H113" s="91" t="s">
        <v>1026</v>
      </c>
      <c r="I113" s="91" t="s">
        <v>1027</v>
      </c>
      <c r="J113" s="91" t="s">
        <v>985</v>
      </c>
      <c r="K113" s="91" t="s">
        <v>1028</v>
      </c>
      <c r="L113" s="107">
        <v>2.540790482838E12</v>
      </c>
      <c r="M113" s="91" t="s">
        <v>1029</v>
      </c>
      <c r="N113" s="91" t="s">
        <v>242</v>
      </c>
      <c r="O113" s="134"/>
      <c r="P113" s="94">
        <v>0.6</v>
      </c>
      <c r="Q113" s="135" t="s">
        <v>255</v>
      </c>
      <c r="R113" s="135" t="s">
        <v>255</v>
      </c>
      <c r="S113" s="96" t="s">
        <v>1030</v>
      </c>
      <c r="T113" s="91" t="s">
        <v>1014</v>
      </c>
    </row>
    <row r="114">
      <c r="A114" s="9">
        <v>113.0</v>
      </c>
      <c r="B114" s="91" t="s">
        <v>577</v>
      </c>
      <c r="C114" s="91" t="s">
        <v>1031</v>
      </c>
      <c r="D114" s="91" t="s">
        <v>416</v>
      </c>
      <c r="E114" s="91" t="s">
        <v>89</v>
      </c>
      <c r="F114" s="105">
        <v>46217.0</v>
      </c>
      <c r="G114" s="91" t="s">
        <v>1032</v>
      </c>
      <c r="H114" s="91" t="s">
        <v>1033</v>
      </c>
      <c r="I114" s="91" t="s">
        <v>1034</v>
      </c>
      <c r="J114" s="91" t="s">
        <v>985</v>
      </c>
      <c r="K114" s="91" t="s">
        <v>90</v>
      </c>
      <c r="L114" s="107">
        <v>2.5470046773E11</v>
      </c>
      <c r="M114" s="91" t="s">
        <v>1035</v>
      </c>
      <c r="N114" s="91" t="s">
        <v>1036</v>
      </c>
      <c r="O114" s="134"/>
      <c r="P114" s="94">
        <v>0.7</v>
      </c>
      <c r="Q114" s="135" t="s">
        <v>255</v>
      </c>
      <c r="R114" s="135" t="s">
        <v>255</v>
      </c>
      <c r="S114" s="96" t="s">
        <v>1037</v>
      </c>
      <c r="T114" s="91" t="s">
        <v>1014</v>
      </c>
    </row>
    <row r="115">
      <c r="A115" s="9">
        <v>114.0</v>
      </c>
      <c r="B115" s="91" t="s">
        <v>257</v>
      </c>
      <c r="C115" s="91" t="s">
        <v>1038</v>
      </c>
      <c r="D115" s="91" t="s">
        <v>1039</v>
      </c>
      <c r="E115" s="91" t="s">
        <v>308</v>
      </c>
      <c r="F115" s="105">
        <v>46217.0</v>
      </c>
      <c r="G115" s="91" t="s">
        <v>929</v>
      </c>
      <c r="H115" s="91" t="s">
        <v>1040</v>
      </c>
      <c r="I115" s="91" t="s">
        <v>1041</v>
      </c>
      <c r="J115" s="91" t="s">
        <v>985</v>
      </c>
      <c r="K115" s="91" t="s">
        <v>1042</v>
      </c>
      <c r="L115" s="107">
        <v>2.3414538399E10</v>
      </c>
      <c r="M115" s="93"/>
      <c r="N115" s="91" t="s">
        <v>977</v>
      </c>
      <c r="O115" s="134"/>
      <c r="P115" s="94">
        <v>0.65</v>
      </c>
      <c r="Q115" s="135" t="s">
        <v>255</v>
      </c>
      <c r="R115" s="135" t="s">
        <v>255</v>
      </c>
      <c r="S115" s="96" t="s">
        <v>1043</v>
      </c>
      <c r="T115" s="91" t="s">
        <v>1024</v>
      </c>
    </row>
    <row r="116">
      <c r="A116" s="9">
        <v>115.0</v>
      </c>
      <c r="B116" s="91" t="s">
        <v>1044</v>
      </c>
      <c r="C116" s="91" t="s">
        <v>1045</v>
      </c>
      <c r="D116" s="91" t="s">
        <v>131</v>
      </c>
      <c r="E116" s="91" t="s">
        <v>63</v>
      </c>
      <c r="F116" s="105">
        <v>46217.0</v>
      </c>
      <c r="G116" s="91" t="s">
        <v>1046</v>
      </c>
      <c r="H116" s="91" t="s">
        <v>1047</v>
      </c>
      <c r="I116" s="91" t="s">
        <v>1048</v>
      </c>
      <c r="J116" s="91" t="s">
        <v>985</v>
      </c>
      <c r="K116" s="91" t="s">
        <v>1049</v>
      </c>
      <c r="L116" s="93"/>
      <c r="M116" s="93"/>
      <c r="N116" s="91" t="s">
        <v>1050</v>
      </c>
      <c r="O116" s="134"/>
      <c r="P116" s="94">
        <v>0.8</v>
      </c>
      <c r="Q116" s="135" t="s">
        <v>255</v>
      </c>
      <c r="R116" s="135" t="s">
        <v>255</v>
      </c>
      <c r="S116" s="96" t="s">
        <v>1051</v>
      </c>
      <c r="T116" s="91" t="s">
        <v>1024</v>
      </c>
    </row>
    <row r="117">
      <c r="A117" s="9">
        <v>116.0</v>
      </c>
      <c r="B117" s="91" t="s">
        <v>1052</v>
      </c>
      <c r="C117" s="91" t="s">
        <v>1053</v>
      </c>
      <c r="D117" s="91" t="s">
        <v>34</v>
      </c>
      <c r="E117" s="91" t="s">
        <v>89</v>
      </c>
      <c r="F117" s="105">
        <v>46217.0</v>
      </c>
      <c r="G117" s="91" t="s">
        <v>1054</v>
      </c>
      <c r="H117" s="91" t="s">
        <v>1055</v>
      </c>
      <c r="I117" s="91" t="s">
        <v>1056</v>
      </c>
      <c r="J117" s="91" t="s">
        <v>985</v>
      </c>
      <c r="K117" s="91" t="s">
        <v>89</v>
      </c>
      <c r="L117" s="93"/>
      <c r="M117" s="93"/>
      <c r="N117" s="91" t="s">
        <v>1057</v>
      </c>
      <c r="O117" s="93"/>
      <c r="P117" s="91" t="s">
        <v>985</v>
      </c>
      <c r="Q117" s="135" t="s">
        <v>255</v>
      </c>
      <c r="R117" s="135" t="s">
        <v>255</v>
      </c>
      <c r="S117" s="96" t="s">
        <v>1058</v>
      </c>
      <c r="T117" s="91" t="s">
        <v>1059</v>
      </c>
    </row>
    <row r="118">
      <c r="A118" s="9">
        <v>117.0</v>
      </c>
      <c r="B118" s="91" t="s">
        <v>342</v>
      </c>
      <c r="C118" s="91" t="s">
        <v>1060</v>
      </c>
      <c r="D118" s="91" t="s">
        <v>131</v>
      </c>
      <c r="E118" s="91" t="s">
        <v>89</v>
      </c>
      <c r="F118" s="105">
        <v>46217.0</v>
      </c>
      <c r="G118" s="91" t="s">
        <v>1061</v>
      </c>
      <c r="H118" s="91" t="s">
        <v>1062</v>
      </c>
      <c r="I118" s="91" t="s">
        <v>1063</v>
      </c>
      <c r="J118" s="91" t="s">
        <v>985</v>
      </c>
      <c r="K118" s="91" t="s">
        <v>1064</v>
      </c>
      <c r="L118" s="107">
        <v>7.247258E9</v>
      </c>
      <c r="M118" s="91" t="s">
        <v>1065</v>
      </c>
      <c r="N118" s="91" t="s">
        <v>1066</v>
      </c>
      <c r="O118" s="93"/>
      <c r="P118" s="94">
        <v>0.6</v>
      </c>
      <c r="Q118" s="91" t="s">
        <v>1067</v>
      </c>
      <c r="R118" s="91" t="s">
        <v>1067</v>
      </c>
      <c r="S118" s="96" t="s">
        <v>1068</v>
      </c>
      <c r="T118" s="91" t="s">
        <v>1069</v>
      </c>
    </row>
    <row r="119">
      <c r="A119" s="9">
        <v>118.0</v>
      </c>
      <c r="B119" s="91" t="s">
        <v>1070</v>
      </c>
      <c r="C119" s="91" t="s">
        <v>1071</v>
      </c>
      <c r="D119" s="91" t="s">
        <v>131</v>
      </c>
      <c r="E119" s="91" t="s">
        <v>246</v>
      </c>
      <c r="F119" s="105">
        <v>46217.0</v>
      </c>
      <c r="G119" s="91" t="s">
        <v>1072</v>
      </c>
      <c r="H119" s="91" t="s">
        <v>1073</v>
      </c>
      <c r="I119" s="91" t="s">
        <v>1074</v>
      </c>
      <c r="J119" s="91" t="s">
        <v>1075</v>
      </c>
      <c r="K119" s="91" t="s">
        <v>1076</v>
      </c>
      <c r="L119" s="107">
        <v>1.2068097277E10</v>
      </c>
      <c r="M119" s="91" t="s">
        <v>1077</v>
      </c>
      <c r="N119" s="91" t="s">
        <v>1078</v>
      </c>
      <c r="O119" s="93"/>
      <c r="P119" s="94">
        <v>0.7</v>
      </c>
      <c r="Q119" s="91" t="s">
        <v>1067</v>
      </c>
      <c r="R119" s="91" t="s">
        <v>1067</v>
      </c>
      <c r="S119" s="96" t="s">
        <v>1079</v>
      </c>
      <c r="T119" s="91" t="s">
        <v>1069</v>
      </c>
    </row>
    <row r="120">
      <c r="A120" s="9">
        <v>119.0</v>
      </c>
      <c r="B120" s="91" t="s">
        <v>216</v>
      </c>
      <c r="C120" s="91" t="s">
        <v>1080</v>
      </c>
      <c r="D120" s="91" t="s">
        <v>131</v>
      </c>
      <c r="E120" s="91" t="s">
        <v>308</v>
      </c>
      <c r="F120" s="105">
        <v>46217.0</v>
      </c>
      <c r="G120" s="91" t="s">
        <v>1081</v>
      </c>
      <c r="H120" s="91" t="s">
        <v>1082</v>
      </c>
      <c r="I120" s="91" t="s">
        <v>1083</v>
      </c>
      <c r="J120" s="91" t="s">
        <v>1084</v>
      </c>
      <c r="K120" s="91" t="s">
        <v>1085</v>
      </c>
      <c r="L120" s="91">
        <v>9.035026151E9</v>
      </c>
      <c r="M120" s="93"/>
      <c r="N120" s="91" t="s">
        <v>1086</v>
      </c>
      <c r="O120" s="96" t="s">
        <v>1087</v>
      </c>
      <c r="P120" s="94">
        <v>0.45</v>
      </c>
      <c r="Q120" s="91" t="s">
        <v>1067</v>
      </c>
      <c r="R120" s="91" t="s">
        <v>1067</v>
      </c>
      <c r="S120" s="96" t="s">
        <v>1088</v>
      </c>
      <c r="T120" s="91" t="s">
        <v>1069</v>
      </c>
    </row>
    <row r="121">
      <c r="A121" s="9">
        <v>120.0</v>
      </c>
      <c r="B121" s="91" t="s">
        <v>216</v>
      </c>
      <c r="C121" s="91" t="s">
        <v>1089</v>
      </c>
      <c r="D121" s="91" t="s">
        <v>131</v>
      </c>
      <c r="E121" s="91" t="s">
        <v>89</v>
      </c>
      <c r="F121" s="105">
        <v>46217.0</v>
      </c>
      <c r="G121" s="91" t="s">
        <v>1090</v>
      </c>
      <c r="H121" s="91" t="s">
        <v>1091</v>
      </c>
      <c r="I121" s="91" t="s">
        <v>1092</v>
      </c>
      <c r="J121" s="91" t="s">
        <v>985</v>
      </c>
      <c r="K121" s="91" t="s">
        <v>89</v>
      </c>
      <c r="L121" s="107">
        <v>8.163222177E9</v>
      </c>
      <c r="M121" s="91" t="s">
        <v>1093</v>
      </c>
      <c r="N121" s="91" t="s">
        <v>1086</v>
      </c>
      <c r="O121" s="93"/>
      <c r="P121" s="94">
        <v>0.7</v>
      </c>
      <c r="Q121" s="91" t="s">
        <v>1067</v>
      </c>
      <c r="R121" s="91" t="s">
        <v>1067</v>
      </c>
      <c r="S121" s="96" t="s">
        <v>1094</v>
      </c>
      <c r="T121" s="91" t="s">
        <v>1069</v>
      </c>
    </row>
    <row r="122">
      <c r="A122" s="9">
        <v>121.0</v>
      </c>
      <c r="B122" s="91" t="s">
        <v>399</v>
      </c>
      <c r="C122" s="91" t="s">
        <v>1095</v>
      </c>
      <c r="D122" s="91" t="s">
        <v>131</v>
      </c>
      <c r="E122" s="91" t="s">
        <v>89</v>
      </c>
      <c r="F122" s="105">
        <v>46217.0</v>
      </c>
      <c r="G122" s="91" t="s">
        <v>1096</v>
      </c>
      <c r="H122" s="91" t="s">
        <v>1097</v>
      </c>
      <c r="I122" s="91" t="s">
        <v>1098</v>
      </c>
      <c r="J122" s="91" t="s">
        <v>985</v>
      </c>
      <c r="K122" s="91" t="s">
        <v>1099</v>
      </c>
      <c r="L122" s="107">
        <v>2.096244444E9</v>
      </c>
      <c r="M122" s="93"/>
      <c r="N122" s="91" t="s">
        <v>977</v>
      </c>
      <c r="O122" s="96" t="s">
        <v>1100</v>
      </c>
      <c r="P122" s="94">
        <v>0.5</v>
      </c>
      <c r="Q122" s="91" t="s">
        <v>1067</v>
      </c>
      <c r="R122" s="91" t="s">
        <v>1067</v>
      </c>
      <c r="S122" s="96" t="s">
        <v>1101</v>
      </c>
      <c r="T122" s="91" t="s">
        <v>1069</v>
      </c>
    </row>
    <row r="123">
      <c r="A123" s="9">
        <v>122.0</v>
      </c>
      <c r="B123" s="91" t="s">
        <v>216</v>
      </c>
      <c r="C123" s="91" t="s">
        <v>1102</v>
      </c>
      <c r="D123" s="91" t="s">
        <v>131</v>
      </c>
      <c r="E123" s="91" t="s">
        <v>89</v>
      </c>
      <c r="F123" s="105">
        <v>46217.0</v>
      </c>
      <c r="G123" s="91" t="s">
        <v>1103</v>
      </c>
      <c r="H123" s="91" t="s">
        <v>1104</v>
      </c>
      <c r="I123" s="91" t="s">
        <v>1105</v>
      </c>
      <c r="J123" s="91" t="s">
        <v>985</v>
      </c>
      <c r="K123" s="91" t="s">
        <v>1106</v>
      </c>
      <c r="L123" s="93">
        <f>+2349090003925</f>
        <v>2349090003925</v>
      </c>
      <c r="M123" s="91" t="s">
        <v>1107</v>
      </c>
      <c r="N123" s="91" t="s">
        <v>1086</v>
      </c>
      <c r="O123" s="93"/>
      <c r="P123" s="94">
        <v>0.7</v>
      </c>
      <c r="Q123" s="91" t="s">
        <v>1067</v>
      </c>
      <c r="R123" s="91" t="s">
        <v>1067</v>
      </c>
      <c r="S123" s="96" t="s">
        <v>1108</v>
      </c>
      <c r="T123" s="91" t="s">
        <v>1069</v>
      </c>
    </row>
    <row r="124">
      <c r="A124" s="9">
        <v>123.0</v>
      </c>
      <c r="B124" s="91" t="s">
        <v>1109</v>
      </c>
      <c r="C124" s="91" t="s">
        <v>1110</v>
      </c>
      <c r="D124" s="91" t="s">
        <v>131</v>
      </c>
      <c r="E124" s="91" t="s">
        <v>308</v>
      </c>
      <c r="F124" s="105">
        <v>46217.0</v>
      </c>
      <c r="G124" s="91" t="s">
        <v>89</v>
      </c>
      <c r="H124" s="91" t="s">
        <v>1111</v>
      </c>
      <c r="I124" s="91" t="s">
        <v>1112</v>
      </c>
      <c r="J124" s="91" t="s">
        <v>985</v>
      </c>
      <c r="K124" s="91" t="s">
        <v>1113</v>
      </c>
      <c r="L124" s="137">
        <v>2.33303976966E11</v>
      </c>
      <c r="M124" s="95"/>
      <c r="N124" s="91" t="s">
        <v>977</v>
      </c>
      <c r="O124" s="95"/>
      <c r="P124" s="94">
        <v>0.4</v>
      </c>
      <c r="Q124" s="91" t="s">
        <v>1067</v>
      </c>
      <c r="R124" s="91" t="s">
        <v>1067</v>
      </c>
      <c r="S124" s="96" t="s">
        <v>1114</v>
      </c>
      <c r="T124" s="91" t="s">
        <v>1069</v>
      </c>
    </row>
    <row r="125">
      <c r="A125" s="9">
        <v>124.0</v>
      </c>
      <c r="B125" s="91" t="s">
        <v>908</v>
      </c>
      <c r="C125" s="91" t="s">
        <v>1115</v>
      </c>
      <c r="D125" s="91" t="s">
        <v>131</v>
      </c>
      <c r="E125" s="91" t="s">
        <v>89</v>
      </c>
      <c r="F125" s="105">
        <v>46217.0</v>
      </c>
      <c r="G125" s="91" t="s">
        <v>1116</v>
      </c>
      <c r="H125" s="91" t="s">
        <v>1117</v>
      </c>
      <c r="I125" s="91" t="s">
        <v>1118</v>
      </c>
      <c r="J125" s="91" t="s">
        <v>985</v>
      </c>
      <c r="K125" s="91" t="s">
        <v>1119</v>
      </c>
      <c r="L125" s="93">
        <f>+2348056900900</f>
        <v>2348056900900</v>
      </c>
      <c r="M125" s="91" t="s">
        <v>915</v>
      </c>
      <c r="N125" s="91" t="s">
        <v>131</v>
      </c>
      <c r="O125" s="93"/>
      <c r="P125" s="94">
        <v>0.65</v>
      </c>
      <c r="Q125" s="91" t="s">
        <v>1067</v>
      </c>
      <c r="R125" s="91" t="s">
        <v>1067</v>
      </c>
      <c r="S125" s="96" t="s">
        <v>1120</v>
      </c>
      <c r="T125" s="91" t="s">
        <v>1069</v>
      </c>
    </row>
    <row r="126">
      <c r="A126" s="9">
        <v>125.0</v>
      </c>
      <c r="B126" s="91" t="s">
        <v>257</v>
      </c>
      <c r="C126" s="91" t="s">
        <v>258</v>
      </c>
      <c r="D126" s="91" t="s">
        <v>131</v>
      </c>
      <c r="E126" s="91" t="s">
        <v>89</v>
      </c>
      <c r="F126" s="105">
        <v>46217.0</v>
      </c>
      <c r="G126" s="91" t="s">
        <v>1121</v>
      </c>
      <c r="H126" s="91" t="s">
        <v>1122</v>
      </c>
      <c r="I126" s="91" t="s">
        <v>1123</v>
      </c>
      <c r="J126" s="91" t="s">
        <v>985</v>
      </c>
      <c r="K126" s="91" t="s">
        <v>1124</v>
      </c>
      <c r="L126" s="91">
        <v>9.038608007E9</v>
      </c>
      <c r="M126" s="91" t="s">
        <v>1125</v>
      </c>
      <c r="N126" s="91" t="s">
        <v>977</v>
      </c>
      <c r="O126" s="93"/>
      <c r="P126" s="94">
        <v>0.4</v>
      </c>
      <c r="Q126" s="91" t="s">
        <v>1067</v>
      </c>
      <c r="R126" s="91" t="s">
        <v>1067</v>
      </c>
      <c r="S126" s="96" t="s">
        <v>1126</v>
      </c>
      <c r="T126" s="91" t="s">
        <v>1069</v>
      </c>
    </row>
    <row r="127">
      <c r="A127" s="9">
        <v>126.0</v>
      </c>
      <c r="B127" s="91" t="s">
        <v>1127</v>
      </c>
      <c r="C127" s="91" t="s">
        <v>1128</v>
      </c>
      <c r="D127" s="91" t="s">
        <v>34</v>
      </c>
      <c r="E127" s="91" t="s">
        <v>246</v>
      </c>
      <c r="F127" s="105">
        <v>46217.0</v>
      </c>
      <c r="G127" s="91" t="s">
        <v>1129</v>
      </c>
      <c r="H127" s="91" t="s">
        <v>1130</v>
      </c>
      <c r="I127" s="91" t="s">
        <v>1131</v>
      </c>
      <c r="J127" s="91" t="s">
        <v>1132</v>
      </c>
      <c r="K127" s="91" t="s">
        <v>1133</v>
      </c>
      <c r="L127" s="93"/>
      <c r="M127" s="91" t="s">
        <v>1134</v>
      </c>
      <c r="N127" s="91" t="s">
        <v>681</v>
      </c>
      <c r="O127" s="96" t="s">
        <v>1135</v>
      </c>
      <c r="P127" s="94">
        <v>0.7</v>
      </c>
      <c r="Q127" s="91" t="s">
        <v>1067</v>
      </c>
      <c r="R127" s="91" t="s">
        <v>1067</v>
      </c>
      <c r="S127" s="96" t="s">
        <v>1136</v>
      </c>
      <c r="T127" s="91" t="s">
        <v>1137</v>
      </c>
    </row>
    <row r="128">
      <c r="A128" s="9">
        <v>127.0</v>
      </c>
      <c r="B128" s="91" t="s">
        <v>1138</v>
      </c>
      <c r="C128" s="91" t="s">
        <v>1139</v>
      </c>
      <c r="D128" s="91" t="s">
        <v>34</v>
      </c>
      <c r="E128" s="91" t="s">
        <v>89</v>
      </c>
      <c r="F128" s="105">
        <v>46217.0</v>
      </c>
      <c r="G128" s="91" t="s">
        <v>1140</v>
      </c>
      <c r="H128" s="91" t="s">
        <v>1141</v>
      </c>
      <c r="I128" s="91" t="s">
        <v>1142</v>
      </c>
      <c r="J128" s="91" t="s">
        <v>985</v>
      </c>
      <c r="K128" s="91" t="s">
        <v>1143</v>
      </c>
      <c r="L128" s="107">
        <v>2.7129409166E10</v>
      </c>
      <c r="M128" s="91" t="s">
        <v>1144</v>
      </c>
      <c r="N128" s="136" t="e">
        <v>#N/A</v>
      </c>
      <c r="O128" s="93"/>
      <c r="P128" s="94">
        <v>0.8</v>
      </c>
      <c r="Q128" s="91" t="s">
        <v>1067</v>
      </c>
      <c r="R128" s="91" t="s">
        <v>1067</v>
      </c>
      <c r="S128" s="96" t="s">
        <v>1145</v>
      </c>
      <c r="T128" s="91" t="s">
        <v>1137</v>
      </c>
    </row>
    <row r="129">
      <c r="A129" s="9">
        <v>128.0</v>
      </c>
      <c r="B129" s="91" t="s">
        <v>1146</v>
      </c>
      <c r="C129" s="91" t="s">
        <v>1147</v>
      </c>
      <c r="D129" s="91" t="s">
        <v>34</v>
      </c>
      <c r="E129" s="91" t="s">
        <v>246</v>
      </c>
      <c r="F129" s="105">
        <v>46217.0</v>
      </c>
      <c r="G129" s="91" t="s">
        <v>1148</v>
      </c>
      <c r="H129" s="91" t="s">
        <v>1149</v>
      </c>
      <c r="I129" s="91" t="s">
        <v>1150</v>
      </c>
      <c r="J129" s="91" t="s">
        <v>1151</v>
      </c>
      <c r="K129" s="91" t="s">
        <v>1152</v>
      </c>
      <c r="L129" s="93"/>
      <c r="M129" s="91" t="s">
        <v>1153</v>
      </c>
      <c r="N129" s="91" t="s">
        <v>1154</v>
      </c>
      <c r="O129" s="96" t="s">
        <v>1155</v>
      </c>
      <c r="P129" s="94">
        <v>0.7</v>
      </c>
      <c r="Q129" s="91" t="s">
        <v>1067</v>
      </c>
      <c r="R129" s="91" t="s">
        <v>1067</v>
      </c>
      <c r="S129" s="96" t="s">
        <v>1156</v>
      </c>
      <c r="T129" s="91" t="s">
        <v>1137</v>
      </c>
    </row>
    <row r="130">
      <c r="A130" s="9">
        <v>129.0</v>
      </c>
      <c r="B130" s="91" t="s">
        <v>129</v>
      </c>
      <c r="C130" s="91" t="s">
        <v>1157</v>
      </c>
      <c r="D130" s="91" t="s">
        <v>34</v>
      </c>
      <c r="E130" s="91" t="s">
        <v>308</v>
      </c>
      <c r="F130" s="105">
        <v>46217.0</v>
      </c>
      <c r="G130" s="91" t="s">
        <v>1158</v>
      </c>
      <c r="H130" s="91" t="s">
        <v>1159</v>
      </c>
      <c r="I130" s="91" t="s">
        <v>1160</v>
      </c>
      <c r="J130" s="91" t="s">
        <v>1161</v>
      </c>
      <c r="K130" s="91" t="s">
        <v>1162</v>
      </c>
      <c r="L130" s="93">
        <f>+27871351005</f>
        <v>27871351005</v>
      </c>
      <c r="M130" s="91" t="s">
        <v>1163</v>
      </c>
      <c r="N130" s="91" t="s">
        <v>1022</v>
      </c>
      <c r="O130" s="93"/>
      <c r="P130" s="94">
        <v>0.7</v>
      </c>
      <c r="Q130" s="91" t="s">
        <v>1067</v>
      </c>
      <c r="R130" s="91" t="s">
        <v>1067</v>
      </c>
      <c r="S130" s="96" t="s">
        <v>1164</v>
      </c>
      <c r="T130" s="91" t="s">
        <v>1137</v>
      </c>
    </row>
    <row r="131">
      <c r="A131" s="9">
        <v>130.0</v>
      </c>
      <c r="B131" s="91" t="s">
        <v>1165</v>
      </c>
      <c r="C131" s="91" t="s">
        <v>1166</v>
      </c>
      <c r="D131" s="91" t="s">
        <v>34</v>
      </c>
      <c r="E131" s="91" t="s">
        <v>89</v>
      </c>
      <c r="F131" s="105">
        <v>46217.0</v>
      </c>
      <c r="G131" s="91" t="s">
        <v>1167</v>
      </c>
      <c r="H131" s="91" t="s">
        <v>1168</v>
      </c>
      <c r="I131" s="91" t="s">
        <v>1169</v>
      </c>
      <c r="J131" s="91" t="s">
        <v>985</v>
      </c>
      <c r="K131" s="91" t="s">
        <v>1170</v>
      </c>
      <c r="L131" s="107">
        <v>4.145056E8</v>
      </c>
      <c r="M131" s="93"/>
      <c r="N131" s="91" t="s">
        <v>1171</v>
      </c>
      <c r="O131" s="96" t="s">
        <v>1172</v>
      </c>
      <c r="P131" s="94">
        <v>0.7</v>
      </c>
      <c r="Q131" s="91" t="s">
        <v>1067</v>
      </c>
      <c r="R131" s="91" t="s">
        <v>1067</v>
      </c>
      <c r="S131" s="96" t="s">
        <v>1173</v>
      </c>
      <c r="T131" s="91" t="s">
        <v>1137</v>
      </c>
    </row>
    <row r="132">
      <c r="A132" s="9">
        <v>131.0</v>
      </c>
      <c r="B132" s="91" t="s">
        <v>746</v>
      </c>
      <c r="C132" s="91" t="s">
        <v>927</v>
      </c>
      <c r="D132" s="91" t="s">
        <v>34</v>
      </c>
      <c r="E132" s="91" t="s">
        <v>89</v>
      </c>
      <c r="F132" s="105">
        <v>46217.0</v>
      </c>
      <c r="G132" s="91" t="s">
        <v>929</v>
      </c>
      <c r="H132" s="91" t="s">
        <v>1174</v>
      </c>
      <c r="I132" s="91" t="s">
        <v>1175</v>
      </c>
      <c r="J132" s="91" t="s">
        <v>1176</v>
      </c>
      <c r="K132" s="91" t="s">
        <v>1177</v>
      </c>
      <c r="L132" s="93"/>
      <c r="M132" s="93"/>
      <c r="N132" s="91" t="s">
        <v>1154</v>
      </c>
      <c r="O132" s="96" t="s">
        <v>1178</v>
      </c>
      <c r="P132" s="94">
        <v>0.7</v>
      </c>
      <c r="Q132" s="135" t="s">
        <v>1067</v>
      </c>
      <c r="R132" s="135" t="s">
        <v>1067</v>
      </c>
      <c r="S132" s="96" t="s">
        <v>1179</v>
      </c>
      <c r="T132" s="91" t="s">
        <v>1137</v>
      </c>
    </row>
    <row r="133">
      <c r="A133" s="9">
        <v>132.0</v>
      </c>
      <c r="B133" s="91" t="s">
        <v>1180</v>
      </c>
      <c r="C133" s="91" t="s">
        <v>1181</v>
      </c>
      <c r="D133" s="91" t="s">
        <v>34</v>
      </c>
      <c r="E133" s="91" t="s">
        <v>89</v>
      </c>
      <c r="F133" s="105">
        <v>46217.0</v>
      </c>
      <c r="G133" s="91" t="s">
        <v>1182</v>
      </c>
      <c r="H133" s="91" t="s">
        <v>1183</v>
      </c>
      <c r="I133" s="91" t="s">
        <v>89</v>
      </c>
      <c r="J133" s="91" t="s">
        <v>985</v>
      </c>
      <c r="K133" s="91" t="s">
        <v>1184</v>
      </c>
      <c r="L133" s="107">
        <v>2.71059305E10</v>
      </c>
      <c r="M133" s="91" t="s">
        <v>1185</v>
      </c>
      <c r="N133" s="91" t="s">
        <v>1186</v>
      </c>
      <c r="O133" s="93"/>
      <c r="P133" s="94">
        <v>0.6</v>
      </c>
      <c r="Q133" s="91" t="s">
        <v>1067</v>
      </c>
      <c r="R133" s="91" t="s">
        <v>1067</v>
      </c>
      <c r="S133" s="96" t="s">
        <v>1187</v>
      </c>
      <c r="T133" s="91" t="s">
        <v>1137</v>
      </c>
    </row>
    <row r="134">
      <c r="A134" s="9">
        <v>133.0</v>
      </c>
      <c r="B134" s="91" t="s">
        <v>1188</v>
      </c>
      <c r="C134" s="91" t="s">
        <v>1189</v>
      </c>
      <c r="D134" s="91" t="s">
        <v>34</v>
      </c>
      <c r="E134" s="91" t="s">
        <v>89</v>
      </c>
      <c r="F134" s="105">
        <v>46217.0</v>
      </c>
      <c r="G134" s="91" t="s">
        <v>1190</v>
      </c>
      <c r="H134" s="91" t="s">
        <v>1191</v>
      </c>
      <c r="I134" s="91" t="s">
        <v>1192</v>
      </c>
      <c r="J134" s="91" t="s">
        <v>985</v>
      </c>
      <c r="K134" s="91" t="s">
        <v>1099</v>
      </c>
      <c r="L134" s="107">
        <v>2.71165885E10</v>
      </c>
      <c r="M134" s="91" t="s">
        <v>1193</v>
      </c>
      <c r="N134" s="91" t="s">
        <v>1194</v>
      </c>
      <c r="O134" s="93"/>
      <c r="P134" s="94">
        <v>0.8</v>
      </c>
      <c r="Q134" s="91" t="s">
        <v>1067</v>
      </c>
      <c r="R134" s="91" t="s">
        <v>1067</v>
      </c>
      <c r="S134" s="96" t="s">
        <v>1195</v>
      </c>
      <c r="T134" s="91" t="s">
        <v>1137</v>
      </c>
    </row>
    <row r="135">
      <c r="A135" s="9">
        <v>134.0</v>
      </c>
      <c r="B135" s="91" t="s">
        <v>1196</v>
      </c>
      <c r="C135" s="91" t="s">
        <v>1197</v>
      </c>
      <c r="D135" s="91" t="s">
        <v>34</v>
      </c>
      <c r="E135" s="91" t="s">
        <v>89</v>
      </c>
      <c r="F135" s="105">
        <v>46217.0</v>
      </c>
      <c r="G135" s="91" t="s">
        <v>1198</v>
      </c>
      <c r="H135" s="91" t="s">
        <v>1199</v>
      </c>
      <c r="I135" s="91" t="s">
        <v>1200</v>
      </c>
      <c r="J135" s="91" t="s">
        <v>985</v>
      </c>
      <c r="K135" s="91" t="s">
        <v>1201</v>
      </c>
      <c r="L135" s="93"/>
      <c r="M135" s="93"/>
      <c r="N135" s="91" t="s">
        <v>1154</v>
      </c>
      <c r="O135" s="95"/>
      <c r="P135" s="91" t="s">
        <v>985</v>
      </c>
      <c r="Q135" s="91" t="s">
        <v>1067</v>
      </c>
      <c r="R135" s="91" t="s">
        <v>1067</v>
      </c>
      <c r="S135" s="96" t="s">
        <v>1202</v>
      </c>
      <c r="T135" s="91" t="s">
        <v>1137</v>
      </c>
    </row>
    <row r="136">
      <c r="A136" s="9">
        <v>135.0</v>
      </c>
      <c r="B136" s="91" t="s">
        <v>1203</v>
      </c>
      <c r="C136" s="91" t="s">
        <v>1204</v>
      </c>
      <c r="D136" s="91" t="s">
        <v>34</v>
      </c>
      <c r="E136" s="91" t="s">
        <v>246</v>
      </c>
      <c r="F136" s="105">
        <v>46217.0</v>
      </c>
      <c r="G136" s="91" t="s">
        <v>1205</v>
      </c>
      <c r="H136" s="91" t="s">
        <v>1206</v>
      </c>
      <c r="I136" s="91" t="s">
        <v>1207</v>
      </c>
      <c r="J136" s="91" t="s">
        <v>1208</v>
      </c>
      <c r="K136" s="91" t="s">
        <v>1209</v>
      </c>
      <c r="L136" s="93"/>
      <c r="M136" s="93"/>
      <c r="N136" s="91" t="s">
        <v>681</v>
      </c>
      <c r="O136" s="95"/>
      <c r="P136" s="91" t="s">
        <v>985</v>
      </c>
      <c r="Q136" s="91" t="s">
        <v>1067</v>
      </c>
      <c r="R136" s="91" t="s">
        <v>1067</v>
      </c>
      <c r="S136" s="96" t="s">
        <v>1210</v>
      </c>
      <c r="T136" s="91" t="s">
        <v>1137</v>
      </c>
    </row>
    <row r="137">
      <c r="A137" s="9">
        <v>136.0</v>
      </c>
      <c r="B137" s="91" t="s">
        <v>1211</v>
      </c>
      <c r="C137" s="91" t="s">
        <v>1212</v>
      </c>
      <c r="D137" s="91" t="s">
        <v>34</v>
      </c>
      <c r="E137" s="91" t="s">
        <v>246</v>
      </c>
      <c r="F137" s="105">
        <v>46217.0</v>
      </c>
      <c r="G137" s="91" t="s">
        <v>1213</v>
      </c>
      <c r="H137" s="91" t="s">
        <v>1214</v>
      </c>
      <c r="I137" s="91" t="s">
        <v>89</v>
      </c>
      <c r="J137" s="91" t="s">
        <v>985</v>
      </c>
      <c r="K137" s="91" t="s">
        <v>1215</v>
      </c>
      <c r="L137" s="93"/>
      <c r="M137" s="93"/>
      <c r="N137" s="91" t="s">
        <v>34</v>
      </c>
      <c r="O137" s="95"/>
      <c r="P137" s="91" t="s">
        <v>985</v>
      </c>
      <c r="Q137" s="91" t="s">
        <v>1067</v>
      </c>
      <c r="R137" s="91" t="s">
        <v>1067</v>
      </c>
      <c r="S137" s="96" t="s">
        <v>1216</v>
      </c>
      <c r="T137" s="91" t="s">
        <v>1137</v>
      </c>
    </row>
    <row r="138">
      <c r="A138" s="9">
        <v>137.0</v>
      </c>
      <c r="B138" s="91" t="s">
        <v>1217</v>
      </c>
      <c r="C138" s="91" t="s">
        <v>1218</v>
      </c>
      <c r="D138" s="91" t="s">
        <v>34</v>
      </c>
      <c r="E138" s="91" t="s">
        <v>246</v>
      </c>
      <c r="F138" s="105">
        <v>46217.0</v>
      </c>
      <c r="G138" s="91" t="s">
        <v>1219</v>
      </c>
      <c r="H138" s="91" t="s">
        <v>1220</v>
      </c>
      <c r="I138" s="91" t="s">
        <v>1221</v>
      </c>
      <c r="J138" s="91" t="s">
        <v>1222</v>
      </c>
      <c r="K138" s="91" t="s">
        <v>1223</v>
      </c>
      <c r="L138" s="93"/>
      <c r="M138" s="91" t="s">
        <v>1224</v>
      </c>
      <c r="N138" s="91" t="s">
        <v>1154</v>
      </c>
      <c r="O138" s="93"/>
      <c r="P138" s="91" t="s">
        <v>985</v>
      </c>
      <c r="Q138" s="91" t="s">
        <v>1067</v>
      </c>
      <c r="R138" s="91" t="s">
        <v>1067</v>
      </c>
      <c r="S138" s="96" t="s">
        <v>1225</v>
      </c>
      <c r="T138" s="91" t="s">
        <v>1137</v>
      </c>
    </row>
    <row r="139">
      <c r="A139" s="9">
        <v>138.0</v>
      </c>
      <c r="B139" s="91" t="s">
        <v>1226</v>
      </c>
      <c r="C139" s="91" t="s">
        <v>1204</v>
      </c>
      <c r="D139" s="91" t="s">
        <v>34</v>
      </c>
      <c r="E139" s="91" t="s">
        <v>246</v>
      </c>
      <c r="F139" s="105">
        <v>46217.0</v>
      </c>
      <c r="G139" s="91" t="s">
        <v>1227</v>
      </c>
      <c r="H139" s="91" t="s">
        <v>1228</v>
      </c>
      <c r="I139" s="91" t="s">
        <v>1229</v>
      </c>
      <c r="J139" s="91" t="s">
        <v>1230</v>
      </c>
      <c r="K139" s="91" t="s">
        <v>1209</v>
      </c>
      <c r="L139" s="93"/>
      <c r="M139" s="93"/>
      <c r="N139" s="91" t="s">
        <v>34</v>
      </c>
      <c r="O139" s="95"/>
      <c r="P139" s="91" t="s">
        <v>985</v>
      </c>
      <c r="Q139" s="91" t="s">
        <v>1067</v>
      </c>
      <c r="R139" s="91" t="s">
        <v>1067</v>
      </c>
      <c r="S139" s="96" t="s">
        <v>1231</v>
      </c>
      <c r="T139" s="91" t="s">
        <v>1137</v>
      </c>
    </row>
    <row r="140">
      <c r="A140" s="9">
        <v>139.0</v>
      </c>
      <c r="B140" s="91" t="s">
        <v>1232</v>
      </c>
      <c r="C140" s="91" t="s">
        <v>1233</v>
      </c>
      <c r="D140" s="91" t="s">
        <v>34</v>
      </c>
      <c r="E140" s="91" t="s">
        <v>246</v>
      </c>
      <c r="F140" s="105">
        <v>46217.0</v>
      </c>
      <c r="G140" s="91" t="s">
        <v>1234</v>
      </c>
      <c r="H140" s="91" t="s">
        <v>1235</v>
      </c>
      <c r="I140" s="91" t="s">
        <v>1236</v>
      </c>
      <c r="J140" s="91" t="s">
        <v>1237</v>
      </c>
      <c r="K140" s="91" t="s">
        <v>1238</v>
      </c>
      <c r="L140" s="93"/>
      <c r="M140" s="95"/>
      <c r="N140" s="91" t="s">
        <v>1154</v>
      </c>
      <c r="O140" s="95"/>
      <c r="P140" s="91" t="s">
        <v>985</v>
      </c>
      <c r="Q140" s="91" t="s">
        <v>1067</v>
      </c>
      <c r="R140" s="91" t="s">
        <v>1067</v>
      </c>
      <c r="S140" s="96" t="s">
        <v>1239</v>
      </c>
      <c r="T140" s="91" t="s">
        <v>1137</v>
      </c>
    </row>
    <row r="141">
      <c r="A141" s="9">
        <v>140.0</v>
      </c>
      <c r="B141" s="9" t="s">
        <v>257</v>
      </c>
      <c r="C141" s="9" t="s">
        <v>1240</v>
      </c>
      <c r="D141" s="9" t="s">
        <v>131</v>
      </c>
      <c r="E141" s="9" t="s">
        <v>308</v>
      </c>
      <c r="F141" s="35">
        <v>46216.0</v>
      </c>
      <c r="G141" s="9" t="s">
        <v>1241</v>
      </c>
      <c r="H141" s="9" t="s">
        <v>1242</v>
      </c>
      <c r="I141" s="9" t="s">
        <v>1243</v>
      </c>
      <c r="J141" s="9" t="s">
        <v>985</v>
      </c>
      <c r="K141" s="9" t="s">
        <v>89</v>
      </c>
      <c r="L141" s="9">
        <v>2.349070041291E12</v>
      </c>
      <c r="N141" s="9" t="s">
        <v>245</v>
      </c>
      <c r="P141" s="32">
        <v>0.6</v>
      </c>
      <c r="Q141" s="9" t="s">
        <v>1244</v>
      </c>
      <c r="R141" s="9" t="s">
        <v>206</v>
      </c>
      <c r="S141" s="21" t="s">
        <v>1245</v>
      </c>
      <c r="T141" s="9" t="s">
        <v>1246</v>
      </c>
    </row>
    <row r="142">
      <c r="A142" s="9">
        <v>141.0</v>
      </c>
      <c r="B142" s="9" t="s">
        <v>731</v>
      </c>
      <c r="C142" s="9" t="s">
        <v>732</v>
      </c>
      <c r="D142" s="9" t="s">
        <v>131</v>
      </c>
      <c r="E142" s="9" t="s">
        <v>308</v>
      </c>
      <c r="F142" s="35">
        <v>46216.0</v>
      </c>
      <c r="G142" s="9" t="s">
        <v>1247</v>
      </c>
      <c r="H142" s="9" t="s">
        <v>1248</v>
      </c>
      <c r="I142" s="9" t="s">
        <v>1249</v>
      </c>
      <c r="J142" s="9" t="s">
        <v>1250</v>
      </c>
      <c r="K142" s="9" t="s">
        <v>1251</v>
      </c>
      <c r="L142" s="9">
        <v>2.348088844023E12</v>
      </c>
      <c r="N142" s="9" t="s">
        <v>245</v>
      </c>
      <c r="P142" s="32">
        <v>0.7</v>
      </c>
      <c r="Q142" s="9" t="s">
        <v>206</v>
      </c>
      <c r="R142" s="9" t="s">
        <v>206</v>
      </c>
      <c r="S142" s="138" t="s">
        <v>1252</v>
      </c>
      <c r="T142" s="9" t="s">
        <v>1253</v>
      </c>
    </row>
    <row r="143">
      <c r="A143" s="9">
        <v>142.0</v>
      </c>
      <c r="B143" s="9" t="s">
        <v>824</v>
      </c>
      <c r="C143" s="9" t="s">
        <v>1254</v>
      </c>
      <c r="D143" s="9" t="s">
        <v>131</v>
      </c>
      <c r="E143" s="9" t="s">
        <v>246</v>
      </c>
      <c r="F143" s="35">
        <v>46216.0</v>
      </c>
      <c r="G143" s="97" t="s">
        <v>1255</v>
      </c>
      <c r="H143" s="9" t="s">
        <v>1256</v>
      </c>
      <c r="I143" s="9" t="s">
        <v>1257</v>
      </c>
      <c r="J143" s="9" t="s">
        <v>1258</v>
      </c>
      <c r="K143" s="9" t="s">
        <v>1259</v>
      </c>
      <c r="L143" s="9">
        <f>2348055676707</f>
        <v>2348055676707</v>
      </c>
      <c r="N143" s="9" t="s">
        <v>1078</v>
      </c>
      <c r="P143" s="32">
        <v>0.6</v>
      </c>
      <c r="Q143" s="9" t="s">
        <v>206</v>
      </c>
      <c r="R143" s="9" t="s">
        <v>206</v>
      </c>
      <c r="S143" s="21" t="s">
        <v>1260</v>
      </c>
      <c r="T143" s="9" t="s">
        <v>1253</v>
      </c>
    </row>
    <row r="144">
      <c r="A144" s="9">
        <v>143.0</v>
      </c>
      <c r="B144" s="9" t="s">
        <v>482</v>
      </c>
      <c r="C144" s="9" t="s">
        <v>1261</v>
      </c>
      <c r="D144" s="9" t="s">
        <v>131</v>
      </c>
      <c r="E144" s="9" t="s">
        <v>308</v>
      </c>
      <c r="F144" s="35">
        <v>46216.0</v>
      </c>
      <c r="G144" s="9" t="s">
        <v>1262</v>
      </c>
      <c r="H144" s="9" t="s">
        <v>1263</v>
      </c>
      <c r="I144" s="9" t="s">
        <v>1264</v>
      </c>
      <c r="J144" s="9" t="s">
        <v>1250</v>
      </c>
      <c r="K144" s="9" t="s">
        <v>1265</v>
      </c>
      <c r="L144" s="9">
        <v>8.112427496E9</v>
      </c>
      <c r="N144" s="9" t="s">
        <v>245</v>
      </c>
      <c r="P144" s="32">
        <v>0.75</v>
      </c>
      <c r="Q144" s="9" t="s">
        <v>206</v>
      </c>
      <c r="R144" s="9" t="s">
        <v>206</v>
      </c>
      <c r="S144" s="138" t="s">
        <v>1266</v>
      </c>
      <c r="T144" s="9" t="s">
        <v>1253</v>
      </c>
    </row>
    <row r="145">
      <c r="A145" s="9">
        <v>144.0</v>
      </c>
      <c r="B145" s="9" t="s">
        <v>605</v>
      </c>
      <c r="C145" s="9" t="s">
        <v>606</v>
      </c>
      <c r="D145" s="9" t="s">
        <v>131</v>
      </c>
      <c r="E145" s="9" t="s">
        <v>63</v>
      </c>
      <c r="F145" s="35">
        <v>46216.0</v>
      </c>
      <c r="G145" s="9" t="s">
        <v>1267</v>
      </c>
      <c r="H145" s="9" t="s">
        <v>1268</v>
      </c>
      <c r="I145" s="9" t="s">
        <v>1269</v>
      </c>
      <c r="J145" s="9" t="s">
        <v>985</v>
      </c>
      <c r="K145" s="9" t="s">
        <v>1265</v>
      </c>
      <c r="L145" s="9">
        <v>2.50788317556E11</v>
      </c>
      <c r="M145" s="9" t="s">
        <v>1270</v>
      </c>
      <c r="N145" s="9" t="s">
        <v>1271</v>
      </c>
      <c r="P145" s="32">
        <v>0.8</v>
      </c>
      <c r="Q145" s="9" t="s">
        <v>206</v>
      </c>
      <c r="R145" s="9" t="s">
        <v>206</v>
      </c>
      <c r="S145" s="21" t="s">
        <v>1272</v>
      </c>
      <c r="T145" s="9" t="s">
        <v>1246</v>
      </c>
    </row>
    <row r="146">
      <c r="A146" s="9">
        <v>145.0</v>
      </c>
      <c r="B146" s="9" t="s">
        <v>233</v>
      </c>
      <c r="C146" s="9" t="s">
        <v>1273</v>
      </c>
      <c r="D146" s="9" t="s">
        <v>131</v>
      </c>
      <c r="E146" s="9" t="s">
        <v>308</v>
      </c>
      <c r="F146" s="35">
        <v>46216.0</v>
      </c>
      <c r="G146" s="9" t="s">
        <v>1274</v>
      </c>
      <c r="H146" s="9" t="s">
        <v>1275</v>
      </c>
      <c r="I146" s="9" t="s">
        <v>113</v>
      </c>
      <c r="J146" s="9" t="s">
        <v>1276</v>
      </c>
      <c r="K146" s="9" t="s">
        <v>89</v>
      </c>
      <c r="M146" s="9" t="s">
        <v>1277</v>
      </c>
      <c r="N146" s="139" t="s">
        <v>1278</v>
      </c>
      <c r="P146" s="32">
        <v>0.7</v>
      </c>
      <c r="Q146" s="9" t="s">
        <v>206</v>
      </c>
      <c r="R146" s="9" t="s">
        <v>206</v>
      </c>
      <c r="S146" s="21" t="s">
        <v>1279</v>
      </c>
      <c r="T146" s="9" t="s">
        <v>1246</v>
      </c>
    </row>
    <row r="147">
      <c r="A147" s="9">
        <v>146.0</v>
      </c>
      <c r="B147" s="9" t="s">
        <v>1280</v>
      </c>
      <c r="C147" s="9" t="s">
        <v>1281</v>
      </c>
      <c r="D147" s="9" t="s">
        <v>1282</v>
      </c>
      <c r="E147" s="9" t="s">
        <v>1283</v>
      </c>
      <c r="F147" s="35">
        <v>46216.0</v>
      </c>
      <c r="G147" s="140" t="s">
        <v>1284</v>
      </c>
      <c r="H147" s="141" t="s">
        <v>1285</v>
      </c>
      <c r="I147" s="141" t="s">
        <v>1286</v>
      </c>
      <c r="J147" s="9" t="s">
        <v>1287</v>
      </c>
      <c r="K147" s="9" t="s">
        <v>1288</v>
      </c>
      <c r="M147" s="9" t="s">
        <v>1289</v>
      </c>
      <c r="N147" s="9" t="s">
        <v>1290</v>
      </c>
      <c r="O147" s="25" t="s">
        <v>1291</v>
      </c>
      <c r="Q147" s="9" t="s">
        <v>1292</v>
      </c>
      <c r="S147" s="142" t="s">
        <v>1293</v>
      </c>
    </row>
    <row r="148">
      <c r="A148" s="9">
        <v>147.0</v>
      </c>
      <c r="B148" s="9" t="s">
        <v>399</v>
      </c>
      <c r="C148" s="9" t="s">
        <v>1294</v>
      </c>
      <c r="D148" s="9" t="s">
        <v>131</v>
      </c>
      <c r="E148" s="9" t="s">
        <v>246</v>
      </c>
      <c r="F148" s="35">
        <v>46216.0</v>
      </c>
      <c r="G148" s="9" t="s">
        <v>1295</v>
      </c>
      <c r="H148" s="9" t="s">
        <v>1296</v>
      </c>
      <c r="I148" s="9" t="s">
        <v>113</v>
      </c>
      <c r="J148" s="9" t="s">
        <v>1297</v>
      </c>
      <c r="K148" s="9" t="s">
        <v>1265</v>
      </c>
      <c r="L148" s="9" t="s">
        <v>1298</v>
      </c>
      <c r="N148" s="9" t="s">
        <v>245</v>
      </c>
      <c r="P148" s="32">
        <v>0.5</v>
      </c>
      <c r="Q148" s="9" t="s">
        <v>206</v>
      </c>
      <c r="R148" s="9" t="s">
        <v>206</v>
      </c>
      <c r="S148" s="143" t="s">
        <v>1299</v>
      </c>
      <c r="T148" s="9" t="s">
        <v>1246</v>
      </c>
    </row>
    <row r="149">
      <c r="A149" s="9">
        <v>148.0</v>
      </c>
      <c r="B149" s="9" t="s">
        <v>277</v>
      </c>
      <c r="C149" s="9" t="s">
        <v>278</v>
      </c>
      <c r="D149" s="9" t="s">
        <v>131</v>
      </c>
      <c r="E149" s="9" t="s">
        <v>308</v>
      </c>
      <c r="F149" s="35">
        <v>46216.0</v>
      </c>
      <c r="G149" s="9" t="s">
        <v>1300</v>
      </c>
      <c r="H149" s="9" t="s">
        <v>1301</v>
      </c>
      <c r="I149" s="9" t="s">
        <v>1302</v>
      </c>
      <c r="J149" s="9" t="s">
        <v>1303</v>
      </c>
      <c r="K149" s="9" t="s">
        <v>113</v>
      </c>
      <c r="L149" s="9">
        <v>9.1162772E9</v>
      </c>
      <c r="N149" s="9" t="s">
        <v>245</v>
      </c>
      <c r="P149" s="32">
        <v>0.65</v>
      </c>
      <c r="Q149" s="9" t="s">
        <v>206</v>
      </c>
      <c r="R149" s="9" t="s">
        <v>206</v>
      </c>
      <c r="S149" s="143" t="s">
        <v>1304</v>
      </c>
      <c r="T149" s="9" t="s">
        <v>1246</v>
      </c>
    </row>
    <row r="150">
      <c r="A150" s="9">
        <v>149.0</v>
      </c>
      <c r="B150" s="9" t="s">
        <v>1305</v>
      </c>
      <c r="C150" s="9" t="s">
        <v>1306</v>
      </c>
      <c r="D150" s="9" t="s">
        <v>442</v>
      </c>
      <c r="E150" s="9" t="s">
        <v>63</v>
      </c>
      <c r="F150" s="35">
        <v>46217.0</v>
      </c>
      <c r="G150" s="9" t="s">
        <v>1307</v>
      </c>
      <c r="H150" s="9" t="s">
        <v>1308</v>
      </c>
      <c r="I150" s="9" t="s">
        <v>1309</v>
      </c>
      <c r="J150" s="9" t="s">
        <v>955</v>
      </c>
      <c r="K150" s="9" t="s">
        <v>1310</v>
      </c>
      <c r="N150" s="9" t="s">
        <v>1311</v>
      </c>
      <c r="O150" s="9" t="s">
        <v>1312</v>
      </c>
      <c r="P150" s="32">
        <v>0.8</v>
      </c>
      <c r="Q150" s="9" t="s">
        <v>206</v>
      </c>
      <c r="R150" s="9" t="s">
        <v>206</v>
      </c>
      <c r="S150" s="21" t="s">
        <v>1313</v>
      </c>
      <c r="T150" s="9" t="s">
        <v>1314</v>
      </c>
    </row>
    <row r="151">
      <c r="A151" s="9">
        <v>150.0</v>
      </c>
      <c r="B151" s="9" t="s">
        <v>1315</v>
      </c>
      <c r="C151" s="9" t="s">
        <v>1316</v>
      </c>
      <c r="D151" s="9" t="s">
        <v>416</v>
      </c>
      <c r="E151" s="9" t="s">
        <v>1317</v>
      </c>
      <c r="F151" s="35">
        <v>46216.0</v>
      </c>
      <c r="G151" s="9" t="s">
        <v>1318</v>
      </c>
      <c r="H151" s="9" t="s">
        <v>1319</v>
      </c>
      <c r="I151" s="9" t="s">
        <v>1320</v>
      </c>
      <c r="J151" s="9" t="s">
        <v>1321</v>
      </c>
      <c r="K151" s="9" t="s">
        <v>1322</v>
      </c>
      <c r="L151" s="9" t="s">
        <v>1323</v>
      </c>
      <c r="M151" s="9" t="s">
        <v>1290</v>
      </c>
      <c r="N151" s="141" t="s">
        <v>199</v>
      </c>
      <c r="O151" s="25" t="s">
        <v>1291</v>
      </c>
      <c r="Q151" s="9" t="s">
        <v>194</v>
      </c>
      <c r="S151" s="142" t="s">
        <v>1324</v>
      </c>
    </row>
    <row r="152">
      <c r="A152" s="9">
        <v>151.0</v>
      </c>
      <c r="B152" s="9" t="s">
        <v>1325</v>
      </c>
      <c r="C152" s="9" t="s">
        <v>1326</v>
      </c>
      <c r="D152" s="9" t="s">
        <v>1282</v>
      </c>
      <c r="E152" s="9" t="s">
        <v>1317</v>
      </c>
      <c r="F152" s="35">
        <v>46216.0</v>
      </c>
      <c r="G152" s="9" t="s">
        <v>1327</v>
      </c>
      <c r="H152" s="144" t="s">
        <v>1328</v>
      </c>
      <c r="I152" s="9" t="s">
        <v>1329</v>
      </c>
      <c r="J152" s="9" t="s">
        <v>1330</v>
      </c>
      <c r="K152" s="9" t="s">
        <v>1331</v>
      </c>
      <c r="L152" s="9" t="s">
        <v>1290</v>
      </c>
      <c r="M152" s="9" t="s">
        <v>1290</v>
      </c>
      <c r="N152" s="9" t="s">
        <v>1282</v>
      </c>
      <c r="O152" s="25" t="s">
        <v>1291</v>
      </c>
      <c r="Q152" s="9" t="s">
        <v>194</v>
      </c>
      <c r="S152" s="145" t="s">
        <v>1332</v>
      </c>
    </row>
    <row r="153">
      <c r="A153" s="9">
        <v>152.0</v>
      </c>
      <c r="B153" s="82" t="s">
        <v>623</v>
      </c>
      <c r="C153" s="9" t="s">
        <v>624</v>
      </c>
      <c r="D153" s="9" t="s">
        <v>34</v>
      </c>
      <c r="E153" s="9" t="s">
        <v>246</v>
      </c>
      <c r="F153" s="9" t="s">
        <v>1333</v>
      </c>
      <c r="G153" s="9" t="s">
        <v>1334</v>
      </c>
      <c r="H153" s="9" t="s">
        <v>1335</v>
      </c>
      <c r="I153" s="9" t="s">
        <v>1336</v>
      </c>
      <c r="J153" s="9" t="s">
        <v>602</v>
      </c>
      <c r="K153" s="9" t="s">
        <v>628</v>
      </c>
      <c r="L153" s="9" t="s">
        <v>1337</v>
      </c>
      <c r="M153" s="9" t="s">
        <v>1338</v>
      </c>
      <c r="N153" s="9" t="s">
        <v>92</v>
      </c>
      <c r="O153" s="25" t="s">
        <v>1339</v>
      </c>
      <c r="P153" s="32">
        <v>0.55</v>
      </c>
      <c r="Q153" s="9" t="s">
        <v>106</v>
      </c>
      <c r="R153" s="9" t="s">
        <v>106</v>
      </c>
      <c r="T153" s="9" t="s">
        <v>612</v>
      </c>
    </row>
    <row r="154">
      <c r="A154" s="9">
        <v>153.0</v>
      </c>
      <c r="B154" s="9" t="s">
        <v>171</v>
      </c>
      <c r="C154" s="9" t="s">
        <v>630</v>
      </c>
      <c r="D154" s="9" t="s">
        <v>131</v>
      </c>
      <c r="E154" s="9" t="s">
        <v>308</v>
      </c>
      <c r="F154" s="9" t="s">
        <v>1333</v>
      </c>
      <c r="G154" s="9" t="s">
        <v>631</v>
      </c>
      <c r="H154" s="9" t="s">
        <v>1340</v>
      </c>
      <c r="I154" s="25" t="s">
        <v>249</v>
      </c>
      <c r="J154" s="9" t="s">
        <v>272</v>
      </c>
      <c r="K154" s="9" t="s">
        <v>114</v>
      </c>
      <c r="L154" s="9" t="s">
        <v>1341</v>
      </c>
      <c r="M154" s="9" t="s">
        <v>1342</v>
      </c>
      <c r="N154" s="9" t="s">
        <v>412</v>
      </c>
      <c r="O154" s="25" t="s">
        <v>1343</v>
      </c>
      <c r="P154" s="32">
        <v>0.45</v>
      </c>
      <c r="Q154" s="9" t="s">
        <v>106</v>
      </c>
      <c r="R154" s="9" t="s">
        <v>106</v>
      </c>
      <c r="S154" s="25" t="s">
        <v>633</v>
      </c>
      <c r="T154" s="9" t="s">
        <v>612</v>
      </c>
    </row>
    <row r="155">
      <c r="A155" s="9">
        <v>154.0</v>
      </c>
      <c r="B155" s="9" t="s">
        <v>1344</v>
      </c>
      <c r="C155" s="9" t="s">
        <v>1345</v>
      </c>
      <c r="D155" s="9" t="s">
        <v>416</v>
      </c>
      <c r="E155" s="9" t="s">
        <v>308</v>
      </c>
      <c r="F155" s="9" t="s">
        <v>1333</v>
      </c>
      <c r="G155" s="9" t="s">
        <v>1346</v>
      </c>
      <c r="H155" s="9" t="s">
        <v>1347</v>
      </c>
      <c r="I155" s="25" t="s">
        <v>249</v>
      </c>
      <c r="J155" s="9" t="s">
        <v>602</v>
      </c>
      <c r="K155" s="9" t="s">
        <v>1348</v>
      </c>
      <c r="L155" s="9" t="s">
        <v>1349</v>
      </c>
      <c r="M155" s="9" t="s">
        <v>1349</v>
      </c>
      <c r="N155" s="9" t="s">
        <v>1282</v>
      </c>
      <c r="P155" s="32">
        <v>0.35</v>
      </c>
      <c r="Q155" s="9" t="s">
        <v>106</v>
      </c>
      <c r="R155" s="9" t="s">
        <v>106</v>
      </c>
      <c r="S155" s="25" t="s">
        <v>1350</v>
      </c>
      <c r="T155" s="9" t="s">
        <v>1351</v>
      </c>
    </row>
    <row r="156">
      <c r="A156" s="9">
        <v>155.0</v>
      </c>
      <c r="B156" s="9" t="s">
        <v>1352</v>
      </c>
      <c r="C156" s="9" t="s">
        <v>1353</v>
      </c>
      <c r="D156" s="9" t="s">
        <v>416</v>
      </c>
      <c r="E156" s="9" t="s">
        <v>308</v>
      </c>
      <c r="F156" s="9" t="s">
        <v>1333</v>
      </c>
      <c r="G156" s="9" t="s">
        <v>1354</v>
      </c>
      <c r="H156" s="9" t="s">
        <v>1355</v>
      </c>
      <c r="I156" s="9" t="s">
        <v>1356</v>
      </c>
      <c r="J156" s="9" t="s">
        <v>602</v>
      </c>
      <c r="K156" s="9" t="s">
        <v>839</v>
      </c>
      <c r="L156" s="9" t="s">
        <v>1357</v>
      </c>
      <c r="M156" s="9" t="s">
        <v>1358</v>
      </c>
      <c r="N156" s="9" t="s">
        <v>1282</v>
      </c>
      <c r="O156" s="25" t="s">
        <v>1359</v>
      </c>
      <c r="P156" s="32">
        <v>0.4</v>
      </c>
      <c r="Q156" s="9" t="s">
        <v>106</v>
      </c>
      <c r="R156" s="9" t="s">
        <v>106</v>
      </c>
      <c r="S156" s="25" t="s">
        <v>1360</v>
      </c>
      <c r="T156" s="9" t="s">
        <v>1014</v>
      </c>
    </row>
    <row r="157">
      <c r="A157" s="9">
        <v>156.0</v>
      </c>
      <c r="B157" s="9" t="s">
        <v>938</v>
      </c>
      <c r="C157" s="9" t="s">
        <v>1361</v>
      </c>
      <c r="D157" s="9" t="s">
        <v>416</v>
      </c>
      <c r="E157" s="9" t="s">
        <v>246</v>
      </c>
      <c r="F157" s="9" t="s">
        <v>1333</v>
      </c>
      <c r="G157" s="9" t="s">
        <v>1362</v>
      </c>
      <c r="H157" s="9" t="s">
        <v>1363</v>
      </c>
      <c r="I157" s="9" t="s">
        <v>1356</v>
      </c>
      <c r="J157" s="9" t="s">
        <v>411</v>
      </c>
      <c r="K157" s="9" t="s">
        <v>1364</v>
      </c>
      <c r="L157" s="9" t="s">
        <v>1365</v>
      </c>
      <c r="M157" s="25" t="s">
        <v>1366</v>
      </c>
      <c r="N157" s="9" t="s">
        <v>199</v>
      </c>
      <c r="O157" s="25" t="s">
        <v>1367</v>
      </c>
      <c r="P157" s="32">
        <v>0.4</v>
      </c>
      <c r="Q157" s="9" t="s">
        <v>106</v>
      </c>
      <c r="R157" s="9" t="s">
        <v>106</v>
      </c>
      <c r="S157" s="25" t="s">
        <v>1368</v>
      </c>
      <c r="T157" s="9" t="s">
        <v>1014</v>
      </c>
    </row>
    <row r="158">
      <c r="A158" s="9">
        <v>157.0</v>
      </c>
      <c r="B158" s="9" t="s">
        <v>1369</v>
      </c>
      <c r="C158" s="9" t="s">
        <v>1370</v>
      </c>
      <c r="D158" s="9" t="s">
        <v>442</v>
      </c>
      <c r="E158" s="9" t="s">
        <v>308</v>
      </c>
      <c r="F158" s="9" t="s">
        <v>1333</v>
      </c>
      <c r="G158" s="9" t="s">
        <v>1371</v>
      </c>
      <c r="H158" s="9" t="s">
        <v>1372</v>
      </c>
      <c r="I158" s="25" t="s">
        <v>249</v>
      </c>
      <c r="J158" s="9" t="s">
        <v>955</v>
      </c>
      <c r="K158" s="9" t="s">
        <v>1373</v>
      </c>
      <c r="L158" s="146" t="s">
        <v>1374</v>
      </c>
      <c r="M158" s="9" t="s">
        <v>1375</v>
      </c>
      <c r="N158" s="9" t="s">
        <v>1376</v>
      </c>
      <c r="O158" s="25" t="s">
        <v>1377</v>
      </c>
      <c r="P158" s="32">
        <v>0.45</v>
      </c>
      <c r="Q158" s="9" t="s">
        <v>106</v>
      </c>
      <c r="R158" s="9" t="s">
        <v>106</v>
      </c>
      <c r="S158" s="25" t="s">
        <v>1378</v>
      </c>
      <c r="T158" s="9" t="s">
        <v>1314</v>
      </c>
    </row>
    <row r="159">
      <c r="A159" s="9">
        <v>158.0</v>
      </c>
      <c r="B159" s="9" t="s">
        <v>938</v>
      </c>
      <c r="C159" s="9" t="s">
        <v>1379</v>
      </c>
      <c r="D159" s="9" t="s">
        <v>131</v>
      </c>
      <c r="E159" s="9" t="s">
        <v>1317</v>
      </c>
      <c r="F159" s="9" t="s">
        <v>1380</v>
      </c>
      <c r="G159" s="9" t="s">
        <v>1381</v>
      </c>
      <c r="H159" s="147"/>
      <c r="I159" s="148" t="s">
        <v>1382</v>
      </c>
      <c r="J159" s="9" t="s">
        <v>1383</v>
      </c>
      <c r="K159" s="9" t="s">
        <v>1384</v>
      </c>
      <c r="L159" s="9" t="s">
        <v>1385</v>
      </c>
      <c r="M159" s="25" t="s">
        <v>1386</v>
      </c>
      <c r="N159" s="9" t="s">
        <v>412</v>
      </c>
      <c r="P159" s="32">
        <v>0.4</v>
      </c>
      <c r="Q159" s="9" t="s">
        <v>1387</v>
      </c>
      <c r="R159" s="9" t="s">
        <v>1388</v>
      </c>
      <c r="S159" s="36" t="s">
        <v>1389</v>
      </c>
      <c r="T159" s="9" t="s">
        <v>1390</v>
      </c>
    </row>
    <row r="160">
      <c r="A160" s="9">
        <v>159.0</v>
      </c>
      <c r="B160" s="149" t="s">
        <v>1391</v>
      </c>
      <c r="C160" s="9" t="s">
        <v>1392</v>
      </c>
      <c r="D160" s="9" t="s">
        <v>131</v>
      </c>
      <c r="E160" s="9" t="s">
        <v>63</v>
      </c>
      <c r="F160" s="9" t="s">
        <v>1333</v>
      </c>
      <c r="G160" s="150" t="s">
        <v>1393</v>
      </c>
      <c r="H160" s="147" t="s">
        <v>1394</v>
      </c>
      <c r="I160" s="9" t="s">
        <v>380</v>
      </c>
      <c r="J160" s="9" t="s">
        <v>1395</v>
      </c>
      <c r="K160" s="9" t="s">
        <v>1396</v>
      </c>
      <c r="N160" s="9" t="s">
        <v>1397</v>
      </c>
      <c r="P160" s="32">
        <v>0.5</v>
      </c>
      <c r="Q160" s="9" t="s">
        <v>255</v>
      </c>
      <c r="R160" s="9" t="s">
        <v>383</v>
      </c>
      <c r="S160" s="151" t="s">
        <v>1398</v>
      </c>
      <c r="T160" s="9" t="s">
        <v>1399</v>
      </c>
    </row>
    <row r="161">
      <c r="A161" s="9">
        <v>160.0</v>
      </c>
      <c r="B161" s="9" t="s">
        <v>746</v>
      </c>
      <c r="C161" s="9" t="s">
        <v>1400</v>
      </c>
      <c r="D161" s="9" t="s">
        <v>131</v>
      </c>
      <c r="E161" s="9" t="s">
        <v>1317</v>
      </c>
      <c r="F161" s="141" t="s">
        <v>1380</v>
      </c>
      <c r="G161" s="152" t="s">
        <v>1401</v>
      </c>
      <c r="H161" s="9" t="s">
        <v>1402</v>
      </c>
      <c r="I161" s="9" t="s">
        <v>380</v>
      </c>
      <c r="J161" s="9" t="s">
        <v>1403</v>
      </c>
      <c r="K161" s="9" t="s">
        <v>1404</v>
      </c>
      <c r="L161" s="153" t="s">
        <v>1405</v>
      </c>
      <c r="N161" s="9" t="s">
        <v>1406</v>
      </c>
      <c r="P161" s="32">
        <v>0.7</v>
      </c>
      <c r="Q161" s="9" t="s">
        <v>255</v>
      </c>
      <c r="R161" s="9" t="s">
        <v>383</v>
      </c>
      <c r="S161" s="9" t="s">
        <v>1407</v>
      </c>
      <c r="T161" s="9" t="s">
        <v>1408</v>
      </c>
    </row>
    <row r="162">
      <c r="A162" s="9">
        <v>161.0</v>
      </c>
      <c r="B162" s="9" t="s">
        <v>1409</v>
      </c>
      <c r="C162" s="9" t="s">
        <v>1410</v>
      </c>
      <c r="D162" s="9" t="s">
        <v>416</v>
      </c>
      <c r="E162" s="9" t="s">
        <v>164</v>
      </c>
      <c r="F162" s="141" t="s">
        <v>1380</v>
      </c>
      <c r="G162" s="13" t="s">
        <v>1411</v>
      </c>
      <c r="H162" s="154" t="s">
        <v>1412</v>
      </c>
      <c r="I162" s="9" t="s">
        <v>1413</v>
      </c>
      <c r="J162" s="9" t="s">
        <v>1414</v>
      </c>
      <c r="K162" s="9" t="s">
        <v>1415</v>
      </c>
      <c r="M162" s="9" t="s">
        <v>1416</v>
      </c>
      <c r="N162" s="9" t="s">
        <v>199</v>
      </c>
      <c r="O162" s="25" t="s">
        <v>1417</v>
      </c>
      <c r="Q162" s="9" t="s">
        <v>255</v>
      </c>
      <c r="R162" s="9" t="s">
        <v>383</v>
      </c>
      <c r="S162" s="155" t="s">
        <v>1418</v>
      </c>
      <c r="T162" s="9" t="s">
        <v>1014</v>
      </c>
    </row>
    <row r="163">
      <c r="A163" s="9">
        <v>162.0</v>
      </c>
      <c r="B163" s="156" t="s">
        <v>1419</v>
      </c>
      <c r="C163" s="16" t="s">
        <v>1420</v>
      </c>
      <c r="D163" s="9" t="s">
        <v>690</v>
      </c>
      <c r="E163" s="9" t="s">
        <v>308</v>
      </c>
      <c r="F163" s="141" t="s">
        <v>1380</v>
      </c>
      <c r="G163" s="157" t="s">
        <v>1421</v>
      </c>
      <c r="H163" s="157" t="s">
        <v>1422</v>
      </c>
      <c r="I163" s="19" t="s">
        <v>249</v>
      </c>
      <c r="K163" s="9" t="s">
        <v>90</v>
      </c>
      <c r="L163" s="158">
        <f>23355166800</f>
        <v>23355166800</v>
      </c>
      <c r="M163" s="159" t="s">
        <v>1423</v>
      </c>
      <c r="N163" s="159" t="s">
        <v>1424</v>
      </c>
      <c r="P163" s="32">
        <v>0.6</v>
      </c>
      <c r="Q163" s="9" t="s">
        <v>255</v>
      </c>
      <c r="R163" s="9" t="s">
        <v>397</v>
      </c>
      <c r="S163" s="81" t="s">
        <v>1425</v>
      </c>
      <c r="T163" s="36" t="s">
        <v>1426</v>
      </c>
    </row>
    <row r="164">
      <c r="A164" s="9">
        <v>163.0</v>
      </c>
      <c r="B164" s="141" t="s">
        <v>1427</v>
      </c>
      <c r="C164" s="141" t="s">
        <v>1428</v>
      </c>
      <c r="D164" s="9" t="s">
        <v>442</v>
      </c>
      <c r="E164" s="9" t="s">
        <v>308</v>
      </c>
      <c r="F164" s="141" t="s">
        <v>1380</v>
      </c>
      <c r="G164" s="9" t="s">
        <v>1429</v>
      </c>
      <c r="H164" s="9" t="s">
        <v>1430</v>
      </c>
      <c r="I164" s="141" t="s">
        <v>1431</v>
      </c>
      <c r="J164" s="9" t="s">
        <v>1432</v>
      </c>
      <c r="K164" s="9" t="s">
        <v>468</v>
      </c>
      <c r="N164" s="141" t="s">
        <v>1433</v>
      </c>
      <c r="O164" s="9"/>
      <c r="Q164" s="9" t="s">
        <v>194</v>
      </c>
      <c r="R164" s="9" t="s">
        <v>194</v>
      </c>
      <c r="S164" s="25" t="s">
        <v>1434</v>
      </c>
      <c r="T164" s="25" t="s">
        <v>1435</v>
      </c>
    </row>
    <row r="165">
      <c r="A165" s="9">
        <v>164.0</v>
      </c>
      <c r="B165" s="9" t="s">
        <v>1436</v>
      </c>
      <c r="C165" s="9" t="s">
        <v>1437</v>
      </c>
      <c r="D165" s="9" t="s">
        <v>1438</v>
      </c>
      <c r="E165" s="9" t="s">
        <v>308</v>
      </c>
      <c r="F165" s="141" t="s">
        <v>1380</v>
      </c>
      <c r="G165" s="9" t="s">
        <v>1439</v>
      </c>
      <c r="H165" s="9" t="s">
        <v>1440</v>
      </c>
      <c r="I165" s="141" t="s">
        <v>1441</v>
      </c>
      <c r="J165" s="9" t="s">
        <v>1432</v>
      </c>
      <c r="K165" s="9" t="s">
        <v>1442</v>
      </c>
      <c r="N165" s="9" t="s">
        <v>1443</v>
      </c>
      <c r="Q165" s="9" t="s">
        <v>194</v>
      </c>
      <c r="R165" s="9" t="s">
        <v>194</v>
      </c>
      <c r="S165" s="25" t="s">
        <v>1444</v>
      </c>
      <c r="T165" s="25" t="s">
        <v>1445</v>
      </c>
    </row>
    <row r="166">
      <c r="A166" s="9">
        <v>165.0</v>
      </c>
      <c r="B166" s="9" t="s">
        <v>1446</v>
      </c>
      <c r="C166" s="9" t="s">
        <v>1447</v>
      </c>
      <c r="D166" s="9" t="s">
        <v>442</v>
      </c>
      <c r="E166" s="9" t="s">
        <v>308</v>
      </c>
      <c r="F166" s="141" t="s">
        <v>1380</v>
      </c>
      <c r="G166" s="141" t="s">
        <v>1448</v>
      </c>
      <c r="H166" s="141" t="s">
        <v>1449</v>
      </c>
      <c r="J166" s="9" t="s">
        <v>1432</v>
      </c>
      <c r="K166" s="9" t="s">
        <v>1450</v>
      </c>
      <c r="N166" s="141" t="s">
        <v>1451</v>
      </c>
      <c r="Q166" s="9" t="s">
        <v>194</v>
      </c>
      <c r="R166" s="9" t="s">
        <v>194</v>
      </c>
      <c r="S166" s="25" t="s">
        <v>1452</v>
      </c>
      <c r="T166" s="25" t="s">
        <v>1453</v>
      </c>
    </row>
    <row r="167">
      <c r="A167" s="9">
        <v>166.0</v>
      </c>
      <c r="B167" s="9" t="s">
        <v>1454</v>
      </c>
      <c r="C167" s="141" t="s">
        <v>1455</v>
      </c>
      <c r="D167" s="9" t="s">
        <v>442</v>
      </c>
      <c r="E167" s="9" t="s">
        <v>308</v>
      </c>
      <c r="F167" s="141" t="s">
        <v>1380</v>
      </c>
      <c r="G167" s="9" t="s">
        <v>1456</v>
      </c>
      <c r="H167" s="9" t="s">
        <v>1457</v>
      </c>
      <c r="I167" s="9" t="s">
        <v>1458</v>
      </c>
      <c r="J167" s="9" t="s">
        <v>1432</v>
      </c>
      <c r="K167" s="141" t="s">
        <v>1450</v>
      </c>
      <c r="N167" s="141" t="s">
        <v>1459</v>
      </c>
      <c r="Q167" s="9" t="s">
        <v>194</v>
      </c>
      <c r="R167" s="9" t="s">
        <v>194</v>
      </c>
      <c r="S167" s="69" t="s">
        <v>1460</v>
      </c>
      <c r="T167" s="25" t="s">
        <v>1461</v>
      </c>
    </row>
    <row r="168">
      <c r="A168" s="9">
        <v>167.0</v>
      </c>
      <c r="B168" s="9" t="s">
        <v>1462</v>
      </c>
      <c r="C168" s="9" t="s">
        <v>1463</v>
      </c>
      <c r="D168" s="9" t="s">
        <v>442</v>
      </c>
      <c r="E168" s="9" t="s">
        <v>1464</v>
      </c>
      <c r="F168" s="141" t="s">
        <v>1380</v>
      </c>
      <c r="G168" s="9" t="s">
        <v>1465</v>
      </c>
      <c r="H168" s="9" t="s">
        <v>1466</v>
      </c>
      <c r="I168" s="141" t="s">
        <v>57</v>
      </c>
      <c r="J168" s="9" t="s">
        <v>1432</v>
      </c>
      <c r="K168" s="141" t="s">
        <v>57</v>
      </c>
      <c r="N168" s="9" t="s">
        <v>1467</v>
      </c>
      <c r="Q168" s="9" t="s">
        <v>194</v>
      </c>
      <c r="R168" s="9" t="s">
        <v>194</v>
      </c>
      <c r="S168" s="25" t="s">
        <v>1468</v>
      </c>
      <c r="T168" s="25" t="s">
        <v>1445</v>
      </c>
    </row>
    <row r="169">
      <c r="A169" s="9">
        <v>168.0</v>
      </c>
      <c r="F169" s="141"/>
    </row>
    <row r="170">
      <c r="A170" s="9">
        <v>169.0</v>
      </c>
      <c r="F170" s="141"/>
    </row>
    <row r="171">
      <c r="A171" s="9">
        <v>170.0</v>
      </c>
      <c r="F171" s="141"/>
    </row>
    <row r="172">
      <c r="A172" s="9">
        <v>171.0</v>
      </c>
      <c r="F172" s="141"/>
    </row>
    <row r="173">
      <c r="A173" s="9">
        <v>172.0</v>
      </c>
      <c r="F173" s="141"/>
    </row>
    <row r="174">
      <c r="A174" s="9">
        <v>173.0</v>
      </c>
    </row>
    <row r="175">
      <c r="A175" s="9">
        <v>174.0</v>
      </c>
    </row>
    <row r="176">
      <c r="A176" s="9">
        <v>175.0</v>
      </c>
    </row>
    <row r="177">
      <c r="A177" s="9">
        <v>176.0</v>
      </c>
    </row>
    <row r="178">
      <c r="A178" s="9">
        <v>177.0</v>
      </c>
    </row>
    <row r="179">
      <c r="A179" s="9">
        <v>178.0</v>
      </c>
    </row>
    <row r="180">
      <c r="A180" s="9">
        <v>179.0</v>
      </c>
    </row>
    <row r="181">
      <c r="A181" s="9">
        <v>180.0</v>
      </c>
    </row>
    <row r="182">
      <c r="A182" s="9">
        <v>181.0</v>
      </c>
    </row>
    <row r="183">
      <c r="A183" s="9">
        <v>182.0</v>
      </c>
    </row>
    <row r="184">
      <c r="A184" s="9">
        <v>183.0</v>
      </c>
    </row>
    <row r="185">
      <c r="A185" s="9">
        <v>184.0</v>
      </c>
    </row>
    <row r="186">
      <c r="A186" s="9">
        <v>185.0</v>
      </c>
    </row>
    <row r="187">
      <c r="A187" s="9">
        <v>186.0</v>
      </c>
    </row>
    <row r="188">
      <c r="A188" s="9">
        <v>187.0</v>
      </c>
    </row>
    <row r="189">
      <c r="A189" s="9">
        <v>188.0</v>
      </c>
    </row>
    <row r="190">
      <c r="A190" s="9">
        <v>189.0</v>
      </c>
    </row>
    <row r="191">
      <c r="A191" s="9">
        <v>190.0</v>
      </c>
    </row>
    <row r="192">
      <c r="A192" s="9">
        <v>191.0</v>
      </c>
    </row>
    <row r="193">
      <c r="A193" s="9">
        <v>192.0</v>
      </c>
    </row>
    <row r="194">
      <c r="A194" s="9">
        <v>193.0</v>
      </c>
    </row>
  </sheetData>
  <autoFilter ref="$A$1:$S$140"/>
  <customSheetViews>
    <customSheetView guid="{14AFC889-F64C-4FDB-9C0E-22EA26113EF7}" filter="1" showAutoFilter="1">
      <autoFilter ref="$U$6"/>
    </customSheetView>
  </customSheetViews>
  <hyperlinks>
    <hyperlink r:id="rId1" ref="S2"/>
    <hyperlink r:id="rId2" ref="C3"/>
    <hyperlink r:id="rId3" ref="O3"/>
    <hyperlink r:id="rId4" ref="S3"/>
    <hyperlink r:id="rId5" ref="M4"/>
    <hyperlink r:id="rId6" ref="S4"/>
    <hyperlink r:id="rId7" ref="M5"/>
    <hyperlink r:id="rId8" ref="S5"/>
    <hyperlink r:id="rId9" ref="M6"/>
    <hyperlink r:id="rId10" ref="S6"/>
    <hyperlink r:id="rId11" ref="M7"/>
    <hyperlink r:id="rId12" ref="S7"/>
    <hyperlink r:id="rId13" ref="M8"/>
    <hyperlink r:id="rId14" ref="S8"/>
    <hyperlink r:id="rId15" ref="S9"/>
    <hyperlink r:id="rId16" ref="S10"/>
    <hyperlink r:id="rId17" ref="L11"/>
    <hyperlink r:id="rId18" ref="S11"/>
    <hyperlink r:id="rId19" ref="L12"/>
    <hyperlink r:id="rId20" ref="S12"/>
    <hyperlink r:id="rId21" ref="S13"/>
    <hyperlink r:id="rId22" ref="S14"/>
    <hyperlink r:id="rId23" ref="S15"/>
    <hyperlink r:id="rId24" ref="O16"/>
    <hyperlink r:id="rId25" ref="S16"/>
    <hyperlink r:id="rId26" ref="O17"/>
    <hyperlink r:id="rId27" ref="S17"/>
    <hyperlink r:id="rId28" ref="M18"/>
    <hyperlink r:id="rId29" ref="S18"/>
    <hyperlink r:id="rId30" ref="M19"/>
    <hyperlink r:id="rId31" ref="S19"/>
    <hyperlink r:id="rId32" ref="M20"/>
    <hyperlink r:id="rId33" ref="O20"/>
    <hyperlink r:id="rId34" ref="S20"/>
    <hyperlink r:id="rId35" ref="M21"/>
    <hyperlink r:id="rId36" ref="O21"/>
    <hyperlink r:id="rId37" ref="S21"/>
    <hyperlink r:id="rId38" ref="S22"/>
    <hyperlink r:id="rId39" ref="M23"/>
    <hyperlink r:id="rId40" ref="S23"/>
    <hyperlink r:id="rId41" ref="I24"/>
    <hyperlink r:id="rId42" ref="M24"/>
    <hyperlink r:id="rId43" ref="O24"/>
    <hyperlink r:id="rId44" ref="S24"/>
    <hyperlink r:id="rId45" ref="O25"/>
    <hyperlink r:id="rId46" ref="S25"/>
    <hyperlink r:id="rId47" ref="O26"/>
    <hyperlink r:id="rId48" ref="S26"/>
    <hyperlink r:id="rId49" ref="O27"/>
    <hyperlink r:id="rId50" ref="S27"/>
    <hyperlink r:id="rId51" ref="O28"/>
    <hyperlink r:id="rId52" ref="S28"/>
    <hyperlink r:id="rId53" ref="M29"/>
    <hyperlink r:id="rId54" ref="O29"/>
    <hyperlink r:id="rId55" ref="S29"/>
    <hyperlink r:id="rId56" ref="O30"/>
    <hyperlink r:id="rId57" ref="S30"/>
    <hyperlink r:id="rId58" ref="O31"/>
    <hyperlink r:id="rId59" ref="S31"/>
    <hyperlink r:id="rId60" ref="O32"/>
    <hyperlink r:id="rId61" ref="S32"/>
    <hyperlink r:id="rId62" ref="O33"/>
    <hyperlink r:id="rId63" ref="S33"/>
    <hyperlink r:id="rId64" ref="O34"/>
    <hyperlink r:id="rId65" ref="S34"/>
    <hyperlink r:id="rId66" ref="O35"/>
    <hyperlink r:id="rId67" ref="S35"/>
    <hyperlink r:id="rId68" ref="I36"/>
    <hyperlink r:id="rId69" ref="O36"/>
    <hyperlink r:id="rId70" ref="S36"/>
    <hyperlink r:id="rId71" ref="O37"/>
    <hyperlink r:id="rId72" ref="S37"/>
    <hyperlink r:id="rId73" ref="O38"/>
    <hyperlink r:id="rId74" ref="S38"/>
    <hyperlink r:id="rId75" ref="S39"/>
    <hyperlink r:id="rId76" ref="S40"/>
    <hyperlink r:id="rId77" ref="S41"/>
    <hyperlink r:id="rId78" ref="S42"/>
    <hyperlink r:id="rId79" ref="S43"/>
    <hyperlink r:id="rId80" ref="S44"/>
    <hyperlink r:id="rId81" ref="S45"/>
    <hyperlink r:id="rId82" ref="S46"/>
    <hyperlink r:id="rId83" ref="S47"/>
    <hyperlink r:id="rId84" ref="C48"/>
    <hyperlink r:id="rId85" location="8605297002" ref="S48"/>
    <hyperlink r:id="rId86" ref="O49"/>
    <hyperlink r:id="rId87" ref="S49"/>
    <hyperlink r:id="rId88" ref="S50"/>
    <hyperlink r:id="rId89" ref="L51"/>
    <hyperlink r:id="rId90" ref="O51"/>
    <hyperlink r:id="rId91" ref="S51"/>
    <hyperlink r:id="rId92" ref="S52"/>
    <hyperlink r:id="rId93" ref="L53"/>
    <hyperlink r:id="rId94" ref="O53"/>
    <hyperlink r:id="rId95" ref="S53"/>
    <hyperlink r:id="rId96" ref="O54"/>
    <hyperlink r:id="rId97" ref="S54"/>
    <hyperlink r:id="rId98" ref="O55"/>
    <hyperlink r:id="rId99" ref="S55"/>
    <hyperlink r:id="rId100" ref="M56"/>
    <hyperlink r:id="rId101" ref="O56"/>
    <hyperlink r:id="rId102" ref="S56"/>
    <hyperlink r:id="rId103" ref="M57"/>
    <hyperlink r:id="rId104" ref="O57"/>
    <hyperlink r:id="rId105" ref="S57"/>
    <hyperlink r:id="rId106" ref="M58"/>
    <hyperlink r:id="rId107" ref="O58"/>
    <hyperlink r:id="rId108" ref="S58"/>
    <hyperlink r:id="rId109" ref="C59"/>
    <hyperlink r:id="rId110" ref="O59"/>
    <hyperlink r:id="rId111" ref="S59"/>
    <hyperlink r:id="rId112" ref="O60"/>
    <hyperlink r:id="rId113" ref="S60"/>
    <hyperlink r:id="rId114" ref="O61"/>
    <hyperlink r:id="rId115" ref="S61"/>
    <hyperlink r:id="rId116" ref="O62"/>
    <hyperlink r:id="rId117" ref="S62"/>
    <hyperlink r:id="rId118" ref="O63"/>
    <hyperlink r:id="rId119" ref="S63"/>
    <hyperlink r:id="rId120" ref="O64"/>
    <hyperlink r:id="rId121" ref="S64"/>
    <hyperlink r:id="rId122" ref="O65"/>
    <hyperlink r:id="rId123" ref="O66"/>
    <hyperlink r:id="rId124" ref="S66"/>
    <hyperlink r:id="rId125" ref="M67"/>
    <hyperlink r:id="rId126" ref="S67"/>
    <hyperlink r:id="rId127" ref="S68"/>
    <hyperlink r:id="rId128" ref="I69"/>
    <hyperlink r:id="rId129" ref="S69"/>
    <hyperlink r:id="rId130" ref="S70"/>
    <hyperlink r:id="rId131" ref="S71"/>
    <hyperlink r:id="rId132" ref="T71"/>
    <hyperlink r:id="rId133" ref="S72"/>
    <hyperlink r:id="rId134" ref="T72"/>
    <hyperlink r:id="rId135" ref="S73"/>
    <hyperlink r:id="rId136" ref="T73"/>
    <hyperlink r:id="rId137" ref="S74"/>
    <hyperlink r:id="rId138" ref="S75"/>
    <hyperlink r:id="rId139" ref="S76"/>
    <hyperlink r:id="rId140" ref="S77"/>
    <hyperlink r:id="rId141" ref="S78"/>
    <hyperlink r:id="rId142" ref="S79"/>
    <hyperlink r:id="rId143" ref="S80"/>
    <hyperlink r:id="rId144" ref="S81"/>
    <hyperlink r:id="rId145" ref="S82"/>
    <hyperlink r:id="rId146" ref="S83"/>
    <hyperlink r:id="rId147" ref="S84"/>
    <hyperlink r:id="rId148" ref="S85"/>
    <hyperlink r:id="rId149" ref="S86"/>
    <hyperlink r:id="rId150" ref="S87"/>
    <hyperlink r:id="rId151" ref="S88"/>
    <hyperlink r:id="rId152" ref="S89"/>
    <hyperlink r:id="rId153" ref="S90"/>
    <hyperlink r:id="rId154" ref="S91"/>
    <hyperlink r:id="rId155" ref="S92"/>
    <hyperlink r:id="rId156" ref="C93"/>
    <hyperlink r:id="rId157" ref="O93"/>
    <hyperlink r:id="rId158" ref="S93"/>
    <hyperlink r:id="rId159" ref="S94"/>
    <hyperlink r:id="rId160" ref="S95"/>
    <hyperlink r:id="rId161" ref="O96"/>
    <hyperlink r:id="rId162" ref="S96"/>
    <hyperlink r:id="rId163" ref="O97"/>
    <hyperlink r:id="rId164" ref="S97"/>
    <hyperlink r:id="rId165" ref="O98"/>
    <hyperlink r:id="rId166" ref="S98"/>
    <hyperlink r:id="rId167" ref="O99"/>
    <hyperlink r:id="rId168" ref="S99"/>
    <hyperlink r:id="rId169" ref="S100"/>
    <hyperlink r:id="rId170" ref="O101"/>
    <hyperlink r:id="rId171" ref="S101"/>
    <hyperlink r:id="rId172" ref="S102"/>
    <hyperlink r:id="rId173" ref="S103"/>
    <hyperlink r:id="rId174" ref="I104"/>
    <hyperlink r:id="rId175" ref="S104"/>
    <hyperlink r:id="rId176" ref="S105"/>
    <hyperlink r:id="rId177" ref="O106"/>
    <hyperlink r:id="rId178" ref="S106"/>
    <hyperlink r:id="rId179" ref="T106"/>
    <hyperlink r:id="rId180" ref="O107"/>
    <hyperlink r:id="rId181" ref="S107"/>
    <hyperlink r:id="rId182" ref="T107"/>
    <hyperlink r:id="rId183" ref="S108"/>
    <hyperlink r:id="rId184" ref="S109"/>
    <hyperlink r:id="rId185" ref="S110"/>
    <hyperlink r:id="rId186" ref="S111"/>
    <hyperlink r:id="rId187" ref="S112"/>
    <hyperlink r:id="rId188" ref="S113"/>
    <hyperlink r:id="rId189" ref="S114"/>
    <hyperlink r:id="rId190" ref="S115"/>
    <hyperlink r:id="rId191" location="google_vignette" ref="S116"/>
    <hyperlink r:id="rId192" ref="S117"/>
    <hyperlink r:id="rId193" ref="S118"/>
    <hyperlink r:id="rId194" ref="S119"/>
    <hyperlink r:id="rId195" ref="O120"/>
    <hyperlink r:id="rId196" ref="S120"/>
    <hyperlink r:id="rId197" ref="S121"/>
    <hyperlink r:id="rId198" ref="O122"/>
    <hyperlink r:id="rId199" ref="S122"/>
    <hyperlink r:id="rId200" ref="S123"/>
    <hyperlink r:id="rId201" ref="S124"/>
    <hyperlink r:id="rId202" ref="S125"/>
    <hyperlink r:id="rId203" ref="S126"/>
    <hyperlink r:id="rId204" ref="O127"/>
    <hyperlink r:id="rId205" ref="S127"/>
    <hyperlink r:id="rId206" ref="S128"/>
    <hyperlink r:id="rId207" ref="O129"/>
    <hyperlink r:id="rId208" ref="S129"/>
    <hyperlink r:id="rId209" ref="S130"/>
    <hyperlink r:id="rId210" ref="O131"/>
    <hyperlink r:id="rId211" ref="S131"/>
    <hyperlink r:id="rId212" ref="O132"/>
    <hyperlink r:id="rId213" ref="S132"/>
    <hyperlink r:id="rId214" ref="S133"/>
    <hyperlink r:id="rId215" ref="S134"/>
    <hyperlink r:id="rId216" ref="S135"/>
    <hyperlink r:id="rId217" ref="S136"/>
    <hyperlink r:id="rId218" ref="S137"/>
    <hyperlink r:id="rId219" ref="S138"/>
    <hyperlink r:id="rId220" ref="S139"/>
    <hyperlink r:id="rId221" ref="S140"/>
    <hyperlink r:id="rId222" ref="S141"/>
    <hyperlink r:id="rId223" ref="S142"/>
    <hyperlink r:id="rId224" ref="S143"/>
    <hyperlink r:id="rId225" ref="S144"/>
    <hyperlink r:id="rId226" ref="S145"/>
    <hyperlink r:id="rId227" ref="S146"/>
    <hyperlink r:id="rId228" ref="O147"/>
    <hyperlink r:id="rId229" ref="S147"/>
    <hyperlink r:id="rId230" ref="S148"/>
    <hyperlink r:id="rId231" ref="S149"/>
    <hyperlink r:id="rId232" ref="S150"/>
    <hyperlink r:id="rId233" ref="O151"/>
    <hyperlink r:id="rId234" ref="S151"/>
    <hyperlink r:id="rId235" ref="O152"/>
    <hyperlink r:id="rId236" ref="S152"/>
    <hyperlink r:id="rId237" ref="O153"/>
    <hyperlink r:id="rId238" ref="I154"/>
    <hyperlink r:id="rId239" ref="O154"/>
    <hyperlink r:id="rId240" ref="S154"/>
    <hyperlink r:id="rId241" ref="I155"/>
    <hyperlink r:id="rId242" ref="S155"/>
    <hyperlink r:id="rId243" ref="O156"/>
    <hyperlink r:id="rId244" ref="S156"/>
    <hyperlink r:id="rId245" ref="M157"/>
    <hyperlink r:id="rId246" ref="O157"/>
    <hyperlink r:id="rId247" ref="S157"/>
    <hyperlink r:id="rId248" ref="I158"/>
    <hyperlink r:id="rId249" ref="O158"/>
    <hyperlink r:id="rId250" ref="S158"/>
    <hyperlink r:id="rId251" ref="M159"/>
    <hyperlink r:id="rId252" ref="S159"/>
    <hyperlink r:id="rId253" ref="G160"/>
    <hyperlink r:id="rId254" ref="S160"/>
    <hyperlink r:id="rId255" ref="O162"/>
    <hyperlink r:id="rId256" ref="S162"/>
    <hyperlink r:id="rId257" ref="I163"/>
    <hyperlink r:id="rId258" ref="S163"/>
    <hyperlink r:id="rId259" ref="T163"/>
    <hyperlink r:id="rId260" ref="S164"/>
    <hyperlink r:id="rId261" ref="T164"/>
    <hyperlink r:id="rId262" ref="S165"/>
    <hyperlink r:id="rId263" ref="T165"/>
    <hyperlink r:id="rId264" ref="S166"/>
    <hyperlink r:id="rId265" ref="T166"/>
    <hyperlink r:id="rId266" ref="S167"/>
    <hyperlink r:id="rId267" ref="T167"/>
    <hyperlink r:id="rId268" ref="S168"/>
    <hyperlink r:id="rId269" ref="T168"/>
  </hyperlinks>
  <drawing r:id="rId2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34.75"/>
    <col customWidth="1" min="4" max="5" width="5.5"/>
    <col customWidth="1" min="6" max="6" width="86.0"/>
  </cols>
  <sheetData>
    <row r="1">
      <c r="A1" s="1" t="s">
        <v>0</v>
      </c>
      <c r="C1" s="1"/>
      <c r="D1" s="3"/>
      <c r="E1" s="3"/>
      <c r="F1" s="4" t="s">
        <v>5</v>
      </c>
      <c r="G1" s="5"/>
      <c r="H1" s="5"/>
      <c r="I1" s="5"/>
    </row>
    <row r="2">
      <c r="A2" s="6" t="s">
        <v>11</v>
      </c>
      <c r="B2" s="6" t="s">
        <v>13</v>
      </c>
      <c r="C2" s="6" t="s">
        <v>15</v>
      </c>
      <c r="D2" s="7"/>
      <c r="E2" s="7">
        <v>1.0</v>
      </c>
      <c r="F2" s="8" t="s">
        <v>18</v>
      </c>
    </row>
    <row r="3">
      <c r="A3" s="9" t="s">
        <v>20</v>
      </c>
      <c r="B3" s="9" t="s">
        <v>21</v>
      </c>
      <c r="C3" s="9" t="s">
        <v>23</v>
      </c>
      <c r="D3" s="7"/>
      <c r="E3" s="7">
        <v>2.0</v>
      </c>
      <c r="F3" s="8" t="s">
        <v>25</v>
      </c>
      <c r="G3" s="9"/>
      <c r="H3" s="9"/>
      <c r="I3" s="9"/>
      <c r="J3" s="9"/>
      <c r="K3" s="9"/>
      <c r="L3" s="9"/>
    </row>
    <row r="4">
      <c r="A4" s="10" t="s">
        <v>28</v>
      </c>
      <c r="B4" s="9" t="s">
        <v>29</v>
      </c>
      <c r="D4" s="12"/>
      <c r="E4" s="12"/>
    </row>
    <row r="5">
      <c r="A5" s="10" t="s">
        <v>31</v>
      </c>
      <c r="B5" s="9" t="s">
        <v>32</v>
      </c>
      <c r="D5" s="12"/>
      <c r="E5" s="12"/>
    </row>
    <row r="6">
      <c r="A6" s="10" t="s">
        <v>36</v>
      </c>
      <c r="B6" s="9" t="s">
        <v>37</v>
      </c>
      <c r="C6" s="9" t="s">
        <v>23</v>
      </c>
      <c r="D6" s="12"/>
      <c r="E6" s="12"/>
    </row>
    <row r="7">
      <c r="A7" s="15" t="s">
        <v>40</v>
      </c>
      <c r="B7" s="9" t="s">
        <v>44</v>
      </c>
      <c r="D7" s="12"/>
      <c r="E7" s="12"/>
    </row>
    <row r="8">
      <c r="A8" s="10" t="s">
        <v>47</v>
      </c>
      <c r="B8" s="9" t="s">
        <v>49</v>
      </c>
      <c r="C8" s="9" t="s">
        <v>23</v>
      </c>
      <c r="D8" s="12"/>
      <c r="E8" s="12"/>
    </row>
    <row r="9">
      <c r="D9" s="12"/>
      <c r="E9" s="12"/>
    </row>
    <row r="10">
      <c r="D10" s="12"/>
      <c r="E10" s="12"/>
    </row>
    <row r="11">
      <c r="D11" s="12"/>
      <c r="E11" s="12"/>
    </row>
    <row r="12">
      <c r="D12" s="12"/>
      <c r="E12" s="12"/>
    </row>
    <row r="13">
      <c r="D13" s="12"/>
      <c r="E13" s="12"/>
    </row>
    <row r="14">
      <c r="D14" s="12"/>
      <c r="E14" s="12"/>
    </row>
    <row r="15">
      <c r="D15" s="12"/>
      <c r="E15" s="12"/>
    </row>
    <row r="16">
      <c r="D16" s="12"/>
      <c r="E16" s="12"/>
    </row>
    <row r="17">
      <c r="D17" s="12"/>
      <c r="E17" s="12"/>
    </row>
    <row r="18">
      <c r="D18" s="12"/>
      <c r="E18" s="12"/>
    </row>
    <row r="19">
      <c r="D19" s="12"/>
      <c r="E19" s="12"/>
    </row>
    <row r="20">
      <c r="D20" s="12"/>
      <c r="E20" s="12"/>
    </row>
    <row r="21">
      <c r="D21" s="12"/>
      <c r="E21" s="12"/>
    </row>
    <row r="22">
      <c r="D22" s="12"/>
      <c r="E22" s="12"/>
    </row>
    <row r="23">
      <c r="D23" s="12"/>
      <c r="E23" s="12"/>
    </row>
    <row r="24">
      <c r="D24" s="12"/>
      <c r="E24" s="12"/>
    </row>
    <row r="25">
      <c r="D25" s="12"/>
      <c r="E25" s="12"/>
    </row>
    <row r="26">
      <c r="D26" s="12"/>
      <c r="E26" s="12"/>
    </row>
    <row r="27">
      <c r="D27" s="12"/>
      <c r="E27" s="12"/>
    </row>
    <row r="28">
      <c r="D28" s="12"/>
      <c r="E28" s="12"/>
    </row>
    <row r="29">
      <c r="D29" s="12"/>
      <c r="E29" s="12"/>
    </row>
    <row r="30">
      <c r="D30" s="12"/>
      <c r="E30" s="12"/>
    </row>
    <row r="31">
      <c r="D31" s="12"/>
      <c r="E31" s="12"/>
    </row>
    <row r="32">
      <c r="D32" s="12"/>
      <c r="E32" s="12"/>
    </row>
    <row r="33">
      <c r="D33" s="12"/>
      <c r="E33" s="12"/>
    </row>
    <row r="34">
      <c r="D34" s="12"/>
      <c r="E34" s="12"/>
    </row>
    <row r="35">
      <c r="D35" s="12"/>
      <c r="E35" s="12"/>
    </row>
    <row r="36">
      <c r="D36" s="12"/>
      <c r="E36" s="12"/>
    </row>
    <row r="37">
      <c r="D37" s="12"/>
      <c r="E37" s="12"/>
    </row>
    <row r="38">
      <c r="D38" s="12"/>
      <c r="E38" s="12"/>
    </row>
    <row r="39">
      <c r="D39" s="12"/>
      <c r="E39" s="12"/>
    </row>
    <row r="40">
      <c r="D40" s="12"/>
      <c r="E40" s="12"/>
    </row>
    <row r="41">
      <c r="D41" s="12"/>
      <c r="E41" s="12"/>
    </row>
    <row r="42">
      <c r="D42" s="12"/>
      <c r="E42" s="12"/>
    </row>
    <row r="43">
      <c r="D43" s="12"/>
      <c r="E43" s="12"/>
    </row>
    <row r="44">
      <c r="D44" s="12"/>
      <c r="E44" s="12"/>
    </row>
    <row r="45">
      <c r="D45" s="12"/>
      <c r="E45" s="12"/>
    </row>
    <row r="46">
      <c r="D46" s="12"/>
      <c r="E46" s="12"/>
    </row>
    <row r="47">
      <c r="D47" s="12"/>
      <c r="E47" s="12"/>
    </row>
    <row r="48">
      <c r="D48" s="12"/>
      <c r="E48" s="12"/>
    </row>
    <row r="49">
      <c r="D49" s="12"/>
      <c r="E49" s="12"/>
    </row>
    <row r="50">
      <c r="D50" s="12"/>
      <c r="E50" s="12"/>
    </row>
    <row r="51">
      <c r="D51" s="12"/>
      <c r="E51" s="12"/>
    </row>
    <row r="52">
      <c r="D52" s="12"/>
      <c r="E52" s="12"/>
    </row>
    <row r="53">
      <c r="D53" s="12"/>
      <c r="E53" s="12"/>
    </row>
    <row r="54">
      <c r="D54" s="12"/>
      <c r="E54" s="12"/>
    </row>
    <row r="55">
      <c r="D55" s="12"/>
      <c r="E55" s="12"/>
    </row>
    <row r="56">
      <c r="D56" s="12"/>
      <c r="E56" s="12"/>
    </row>
    <row r="57">
      <c r="D57" s="12"/>
      <c r="E57" s="12"/>
    </row>
    <row r="58">
      <c r="D58" s="12"/>
      <c r="E58" s="12"/>
    </row>
    <row r="59">
      <c r="D59" s="12"/>
      <c r="E59" s="12"/>
    </row>
    <row r="60">
      <c r="D60" s="12"/>
      <c r="E60" s="12"/>
    </row>
    <row r="61">
      <c r="D61" s="12"/>
      <c r="E61" s="12"/>
    </row>
    <row r="62">
      <c r="D62" s="12"/>
      <c r="E62" s="12"/>
    </row>
    <row r="63">
      <c r="D63" s="12"/>
      <c r="E63" s="12"/>
    </row>
    <row r="64">
      <c r="D64" s="12"/>
      <c r="E64" s="12"/>
    </row>
    <row r="65">
      <c r="D65" s="12"/>
      <c r="E65" s="12"/>
    </row>
    <row r="66">
      <c r="D66" s="12"/>
      <c r="E66" s="12"/>
    </row>
    <row r="67">
      <c r="D67" s="12"/>
      <c r="E67" s="12"/>
    </row>
    <row r="68">
      <c r="D68" s="12"/>
      <c r="E68" s="12"/>
    </row>
    <row r="69">
      <c r="D69" s="12"/>
      <c r="E69" s="12"/>
    </row>
    <row r="70">
      <c r="D70" s="12"/>
      <c r="E70" s="12"/>
    </row>
    <row r="71">
      <c r="D71" s="12"/>
      <c r="E71" s="12"/>
    </row>
    <row r="72">
      <c r="D72" s="12"/>
      <c r="E72" s="12"/>
    </row>
    <row r="73">
      <c r="D73" s="12"/>
      <c r="E73" s="12"/>
    </row>
    <row r="74">
      <c r="D74" s="12"/>
      <c r="E74" s="12"/>
    </row>
    <row r="75">
      <c r="D75" s="12"/>
      <c r="E75" s="12"/>
    </row>
    <row r="76">
      <c r="D76" s="12"/>
      <c r="E76" s="12"/>
    </row>
    <row r="77">
      <c r="D77" s="12"/>
      <c r="E77" s="12"/>
    </row>
    <row r="78">
      <c r="D78" s="12"/>
      <c r="E78" s="12"/>
    </row>
    <row r="79">
      <c r="D79" s="12"/>
      <c r="E79" s="12"/>
    </row>
    <row r="80">
      <c r="D80" s="12"/>
      <c r="E80" s="12"/>
    </row>
    <row r="81">
      <c r="D81" s="12"/>
      <c r="E81" s="12"/>
    </row>
    <row r="82">
      <c r="D82" s="12"/>
      <c r="E82" s="12"/>
    </row>
    <row r="83">
      <c r="D83" s="12"/>
      <c r="E83" s="12"/>
    </row>
    <row r="84">
      <c r="D84" s="12"/>
      <c r="E84" s="12"/>
    </row>
    <row r="85">
      <c r="D85" s="12"/>
      <c r="E85" s="12"/>
    </row>
    <row r="86">
      <c r="D86" s="12"/>
      <c r="E86" s="12"/>
    </row>
    <row r="87">
      <c r="D87" s="12"/>
      <c r="E87" s="12"/>
    </row>
    <row r="88">
      <c r="D88" s="12"/>
      <c r="E88" s="12"/>
    </row>
    <row r="89">
      <c r="D89" s="12"/>
      <c r="E89" s="12"/>
    </row>
    <row r="90">
      <c r="D90" s="12"/>
      <c r="E90" s="12"/>
    </row>
    <row r="91">
      <c r="D91" s="12"/>
      <c r="E91" s="12"/>
    </row>
    <row r="92">
      <c r="D92" s="12"/>
      <c r="E92" s="12"/>
    </row>
    <row r="93">
      <c r="D93" s="12"/>
      <c r="E93" s="12"/>
    </row>
    <row r="94">
      <c r="D94" s="12"/>
      <c r="E94" s="12"/>
    </row>
    <row r="95">
      <c r="D95" s="12"/>
      <c r="E95" s="12"/>
    </row>
    <row r="96">
      <c r="D96" s="12"/>
      <c r="E96" s="12"/>
    </row>
    <row r="97">
      <c r="D97" s="12"/>
      <c r="E97" s="12"/>
    </row>
    <row r="98">
      <c r="D98" s="12"/>
      <c r="E98" s="12"/>
    </row>
    <row r="99">
      <c r="D99" s="12"/>
      <c r="E99" s="12"/>
    </row>
    <row r="100">
      <c r="D100" s="12"/>
      <c r="E100" s="12"/>
    </row>
    <row r="101">
      <c r="D101" s="12"/>
      <c r="E101" s="12"/>
    </row>
    <row r="102">
      <c r="D102" s="12"/>
      <c r="E102" s="12"/>
    </row>
    <row r="103">
      <c r="D103" s="12"/>
      <c r="E103" s="12"/>
    </row>
    <row r="104">
      <c r="D104" s="12"/>
      <c r="E104" s="12"/>
    </row>
    <row r="105">
      <c r="D105" s="12"/>
      <c r="E105" s="12"/>
    </row>
    <row r="106">
      <c r="D106" s="12"/>
      <c r="E106" s="12"/>
    </row>
    <row r="107">
      <c r="D107" s="12"/>
      <c r="E107" s="12"/>
    </row>
    <row r="108">
      <c r="D108" s="12"/>
      <c r="E108" s="12"/>
    </row>
    <row r="109">
      <c r="D109" s="12"/>
      <c r="E109" s="12"/>
    </row>
    <row r="110">
      <c r="D110" s="12"/>
      <c r="E110" s="12"/>
    </row>
    <row r="111">
      <c r="D111" s="12"/>
      <c r="E111" s="12"/>
    </row>
    <row r="112">
      <c r="D112" s="12"/>
      <c r="E112" s="12"/>
    </row>
    <row r="113">
      <c r="D113" s="12"/>
      <c r="E113" s="12"/>
    </row>
    <row r="114">
      <c r="D114" s="12"/>
      <c r="E114" s="12"/>
    </row>
    <row r="115">
      <c r="D115" s="12"/>
      <c r="E115" s="12"/>
    </row>
    <row r="116">
      <c r="D116" s="12"/>
      <c r="E116" s="12"/>
    </row>
    <row r="117">
      <c r="D117" s="12"/>
      <c r="E117" s="12"/>
    </row>
    <row r="118">
      <c r="D118" s="12"/>
      <c r="E118" s="12"/>
    </row>
    <row r="119">
      <c r="D119" s="12"/>
      <c r="E119" s="12"/>
    </row>
    <row r="120">
      <c r="D120" s="12"/>
      <c r="E120" s="12"/>
    </row>
    <row r="121">
      <c r="D121" s="12"/>
      <c r="E121" s="12"/>
    </row>
    <row r="122">
      <c r="D122" s="12"/>
      <c r="E122" s="12"/>
    </row>
    <row r="123">
      <c r="D123" s="12"/>
      <c r="E123" s="12"/>
    </row>
    <row r="124">
      <c r="D124" s="12"/>
      <c r="E124" s="12"/>
    </row>
    <row r="125">
      <c r="D125" s="12"/>
      <c r="E125" s="12"/>
    </row>
    <row r="126">
      <c r="D126" s="12"/>
      <c r="E126" s="12"/>
    </row>
    <row r="127">
      <c r="D127" s="12"/>
      <c r="E127" s="12"/>
    </row>
    <row r="128">
      <c r="D128" s="12"/>
      <c r="E128" s="12"/>
    </row>
    <row r="129">
      <c r="D129" s="12"/>
      <c r="E129" s="12"/>
    </row>
    <row r="130">
      <c r="D130" s="12"/>
      <c r="E130" s="12"/>
    </row>
    <row r="131">
      <c r="D131" s="12"/>
      <c r="E131" s="12"/>
    </row>
    <row r="132">
      <c r="D132" s="12"/>
      <c r="E132" s="12"/>
    </row>
    <row r="133">
      <c r="D133" s="12"/>
      <c r="E133" s="12"/>
    </row>
    <row r="134">
      <c r="D134" s="12"/>
      <c r="E134" s="12"/>
    </row>
    <row r="135">
      <c r="D135" s="12"/>
      <c r="E135" s="12"/>
    </row>
    <row r="136">
      <c r="D136" s="12"/>
      <c r="E136" s="12"/>
    </row>
    <row r="137">
      <c r="D137" s="12"/>
      <c r="E137" s="12"/>
    </row>
    <row r="138">
      <c r="D138" s="12"/>
      <c r="E138" s="12"/>
    </row>
    <row r="139">
      <c r="D139" s="12"/>
      <c r="E139" s="12"/>
    </row>
    <row r="140">
      <c r="D140" s="12"/>
      <c r="E140" s="12"/>
    </row>
    <row r="141">
      <c r="D141" s="12"/>
      <c r="E141" s="12"/>
    </row>
    <row r="142">
      <c r="D142" s="12"/>
      <c r="E142" s="12"/>
    </row>
    <row r="143">
      <c r="D143" s="12"/>
      <c r="E143" s="12"/>
    </row>
    <row r="144">
      <c r="D144" s="12"/>
      <c r="E144" s="12"/>
    </row>
    <row r="145">
      <c r="D145" s="12"/>
      <c r="E145" s="12"/>
    </row>
    <row r="146">
      <c r="D146" s="12"/>
      <c r="E146" s="12"/>
    </row>
    <row r="147">
      <c r="D147" s="12"/>
      <c r="E147" s="12"/>
    </row>
    <row r="148">
      <c r="D148" s="12"/>
      <c r="E148" s="12"/>
    </row>
    <row r="149">
      <c r="D149" s="12"/>
      <c r="E149" s="12"/>
    </row>
    <row r="150">
      <c r="D150" s="12"/>
      <c r="E150" s="12"/>
    </row>
    <row r="151">
      <c r="D151" s="12"/>
      <c r="E151" s="12"/>
    </row>
    <row r="152">
      <c r="D152" s="12"/>
      <c r="E152" s="12"/>
    </row>
    <row r="153">
      <c r="D153" s="12"/>
      <c r="E153" s="12"/>
    </row>
    <row r="154">
      <c r="D154" s="12"/>
      <c r="E154" s="12"/>
    </row>
    <row r="155">
      <c r="D155" s="12"/>
      <c r="E155" s="12"/>
    </row>
    <row r="156">
      <c r="D156" s="12"/>
      <c r="E156" s="12"/>
    </row>
    <row r="157">
      <c r="D157" s="12"/>
      <c r="E157" s="12"/>
    </row>
    <row r="158">
      <c r="D158" s="12"/>
      <c r="E158" s="12"/>
    </row>
    <row r="159">
      <c r="D159" s="12"/>
      <c r="E159" s="12"/>
    </row>
    <row r="160">
      <c r="D160" s="12"/>
      <c r="E160" s="12"/>
    </row>
    <row r="161">
      <c r="D161" s="12"/>
      <c r="E161" s="12"/>
    </row>
    <row r="162">
      <c r="D162" s="12"/>
      <c r="E162" s="12"/>
    </row>
    <row r="163">
      <c r="D163" s="12"/>
      <c r="E163" s="12"/>
    </row>
    <row r="164">
      <c r="D164" s="12"/>
      <c r="E164" s="12"/>
    </row>
    <row r="165">
      <c r="D165" s="12"/>
      <c r="E165" s="12"/>
    </row>
    <row r="166">
      <c r="D166" s="12"/>
      <c r="E166" s="12"/>
    </row>
    <row r="167">
      <c r="D167" s="12"/>
      <c r="E167" s="12"/>
    </row>
    <row r="168">
      <c r="D168" s="12"/>
      <c r="E168" s="12"/>
    </row>
    <row r="169">
      <c r="D169" s="12"/>
      <c r="E169" s="12"/>
    </row>
    <row r="170">
      <c r="D170" s="12"/>
      <c r="E170" s="12"/>
    </row>
    <row r="171">
      <c r="D171" s="12"/>
      <c r="E171" s="12"/>
    </row>
    <row r="172">
      <c r="D172" s="12"/>
      <c r="E172" s="12"/>
    </row>
    <row r="173">
      <c r="D173" s="12"/>
      <c r="E173" s="12"/>
    </row>
    <row r="174">
      <c r="D174" s="12"/>
      <c r="E174" s="12"/>
    </row>
    <row r="175">
      <c r="D175" s="12"/>
      <c r="E175" s="12"/>
    </row>
    <row r="176">
      <c r="D176" s="12"/>
      <c r="E176" s="12"/>
    </row>
    <row r="177">
      <c r="D177" s="12"/>
      <c r="E177" s="12"/>
    </row>
    <row r="178">
      <c r="D178" s="12"/>
      <c r="E178" s="12"/>
    </row>
    <row r="179">
      <c r="D179" s="12"/>
      <c r="E179" s="12"/>
    </row>
    <row r="180">
      <c r="D180" s="12"/>
      <c r="E180" s="12"/>
    </row>
    <row r="181">
      <c r="D181" s="12"/>
      <c r="E181" s="12"/>
    </row>
    <row r="182">
      <c r="D182" s="12"/>
      <c r="E182" s="12"/>
    </row>
    <row r="183">
      <c r="D183" s="12"/>
      <c r="E183" s="12"/>
    </row>
    <row r="184">
      <c r="D184" s="12"/>
      <c r="E184" s="12"/>
    </row>
    <row r="185">
      <c r="D185" s="12"/>
      <c r="E185" s="12"/>
    </row>
    <row r="186">
      <c r="D186" s="12"/>
      <c r="E186" s="12"/>
    </row>
    <row r="187">
      <c r="D187" s="12"/>
      <c r="E187" s="12"/>
    </row>
    <row r="188">
      <c r="D188" s="12"/>
      <c r="E188" s="12"/>
    </row>
    <row r="189">
      <c r="D189" s="12"/>
      <c r="E189" s="12"/>
    </row>
    <row r="190">
      <c r="D190" s="12"/>
      <c r="E190" s="12"/>
    </row>
    <row r="191">
      <c r="D191" s="12"/>
      <c r="E191" s="12"/>
    </row>
    <row r="192">
      <c r="D192" s="12"/>
      <c r="E192" s="12"/>
    </row>
    <row r="193">
      <c r="D193" s="12"/>
      <c r="E193" s="12"/>
    </row>
    <row r="194">
      <c r="D194" s="12"/>
      <c r="E194" s="12"/>
    </row>
    <row r="195">
      <c r="D195" s="12"/>
      <c r="E195" s="12"/>
    </row>
    <row r="196">
      <c r="D196" s="12"/>
      <c r="E196" s="12"/>
    </row>
    <row r="197">
      <c r="D197" s="12"/>
      <c r="E197" s="12"/>
    </row>
    <row r="198">
      <c r="D198" s="12"/>
      <c r="E198" s="12"/>
    </row>
    <row r="199">
      <c r="D199" s="12"/>
      <c r="E199" s="12"/>
    </row>
    <row r="200">
      <c r="D200" s="12"/>
      <c r="E200" s="12"/>
    </row>
    <row r="201">
      <c r="D201" s="12"/>
      <c r="E201" s="12"/>
    </row>
    <row r="202">
      <c r="D202" s="12"/>
      <c r="E202" s="12"/>
    </row>
    <row r="203">
      <c r="D203" s="12"/>
      <c r="E203" s="12"/>
    </row>
    <row r="204">
      <c r="D204" s="12"/>
      <c r="E204" s="12"/>
    </row>
    <row r="205">
      <c r="D205" s="12"/>
      <c r="E205" s="12"/>
    </row>
    <row r="206">
      <c r="D206" s="12"/>
      <c r="E206" s="12"/>
    </row>
    <row r="207">
      <c r="D207" s="12"/>
      <c r="E207" s="12"/>
    </row>
    <row r="208">
      <c r="D208" s="12"/>
      <c r="E208" s="12"/>
    </row>
    <row r="209">
      <c r="D209" s="12"/>
      <c r="E209" s="12"/>
    </row>
    <row r="210">
      <c r="D210" s="12"/>
      <c r="E210" s="12"/>
    </row>
    <row r="211">
      <c r="D211" s="12"/>
      <c r="E211" s="12"/>
    </row>
    <row r="212">
      <c r="D212" s="12"/>
      <c r="E212" s="12"/>
    </row>
    <row r="213">
      <c r="D213" s="12"/>
      <c r="E213" s="12"/>
    </row>
    <row r="214">
      <c r="D214" s="12"/>
      <c r="E214" s="12"/>
    </row>
    <row r="215">
      <c r="D215" s="12"/>
      <c r="E215" s="12"/>
    </row>
    <row r="216">
      <c r="D216" s="12"/>
      <c r="E216" s="12"/>
    </row>
    <row r="217">
      <c r="D217" s="12"/>
      <c r="E217" s="12"/>
    </row>
    <row r="218">
      <c r="D218" s="12"/>
      <c r="E218" s="12"/>
    </row>
    <row r="219">
      <c r="D219" s="12"/>
      <c r="E219" s="12"/>
    </row>
    <row r="220">
      <c r="D220" s="12"/>
      <c r="E220" s="12"/>
    </row>
    <row r="221">
      <c r="D221" s="12"/>
      <c r="E221" s="12"/>
    </row>
    <row r="222">
      <c r="D222" s="12"/>
      <c r="E222" s="12"/>
    </row>
    <row r="223">
      <c r="D223" s="12"/>
      <c r="E223" s="12"/>
    </row>
    <row r="224">
      <c r="D224" s="12"/>
      <c r="E224" s="12"/>
    </row>
    <row r="225">
      <c r="D225" s="12"/>
      <c r="E225" s="12"/>
    </row>
    <row r="226">
      <c r="D226" s="12"/>
      <c r="E226" s="12"/>
    </row>
    <row r="227">
      <c r="D227" s="12"/>
      <c r="E227" s="12"/>
    </row>
    <row r="228">
      <c r="D228" s="12"/>
      <c r="E228" s="12"/>
    </row>
    <row r="229">
      <c r="D229" s="12"/>
      <c r="E229" s="12"/>
    </row>
    <row r="230">
      <c r="D230" s="12"/>
      <c r="E230" s="12"/>
    </row>
    <row r="231">
      <c r="D231" s="12"/>
      <c r="E231" s="12"/>
    </row>
    <row r="232">
      <c r="D232" s="12"/>
      <c r="E232" s="12"/>
    </row>
    <row r="233">
      <c r="D233" s="12"/>
      <c r="E233" s="12"/>
    </row>
    <row r="234">
      <c r="D234" s="12"/>
      <c r="E234" s="12"/>
    </row>
    <row r="235">
      <c r="D235" s="12"/>
      <c r="E235" s="12"/>
    </row>
    <row r="236">
      <c r="D236" s="12"/>
      <c r="E236" s="12"/>
    </row>
    <row r="237">
      <c r="D237" s="12"/>
      <c r="E237" s="12"/>
    </row>
    <row r="238">
      <c r="D238" s="12"/>
      <c r="E238" s="12"/>
    </row>
    <row r="239">
      <c r="D239" s="12"/>
      <c r="E239" s="12"/>
    </row>
    <row r="240">
      <c r="D240" s="12"/>
      <c r="E240" s="12"/>
    </row>
    <row r="241">
      <c r="D241" s="12"/>
      <c r="E241" s="12"/>
    </row>
    <row r="242">
      <c r="D242" s="12"/>
      <c r="E242" s="12"/>
    </row>
    <row r="243">
      <c r="D243" s="12"/>
      <c r="E243" s="12"/>
    </row>
    <row r="244">
      <c r="D244" s="12"/>
      <c r="E244" s="12"/>
    </row>
    <row r="245">
      <c r="D245" s="12"/>
      <c r="E245" s="12"/>
    </row>
    <row r="246">
      <c r="D246" s="12"/>
      <c r="E246" s="12"/>
    </row>
    <row r="247">
      <c r="D247" s="12"/>
      <c r="E247" s="12"/>
    </row>
    <row r="248">
      <c r="D248" s="12"/>
      <c r="E248" s="12"/>
    </row>
    <row r="249">
      <c r="D249" s="12"/>
      <c r="E249" s="12"/>
    </row>
    <row r="250">
      <c r="D250" s="12"/>
      <c r="E250" s="12"/>
    </row>
    <row r="251">
      <c r="D251" s="12"/>
      <c r="E251" s="12"/>
    </row>
    <row r="252">
      <c r="D252" s="12"/>
      <c r="E252" s="12"/>
    </row>
    <row r="253">
      <c r="D253" s="12"/>
      <c r="E253" s="12"/>
    </row>
    <row r="254">
      <c r="D254" s="12"/>
      <c r="E254" s="12"/>
    </row>
    <row r="255">
      <c r="D255" s="12"/>
      <c r="E255" s="12"/>
    </row>
    <row r="256">
      <c r="D256" s="12"/>
      <c r="E256" s="12"/>
    </row>
    <row r="257">
      <c r="D257" s="12"/>
      <c r="E257" s="12"/>
    </row>
    <row r="258">
      <c r="D258" s="12"/>
      <c r="E258" s="12"/>
    </row>
    <row r="259">
      <c r="D259" s="12"/>
      <c r="E259" s="12"/>
    </row>
    <row r="260">
      <c r="D260" s="12"/>
      <c r="E260" s="12"/>
    </row>
    <row r="261">
      <c r="D261" s="12"/>
      <c r="E261" s="12"/>
    </row>
    <row r="262">
      <c r="D262" s="12"/>
      <c r="E262" s="12"/>
    </row>
    <row r="263">
      <c r="D263" s="12"/>
      <c r="E263" s="12"/>
    </row>
    <row r="264">
      <c r="D264" s="12"/>
      <c r="E264" s="12"/>
    </row>
    <row r="265">
      <c r="D265" s="12"/>
      <c r="E265" s="12"/>
    </row>
    <row r="266">
      <c r="D266" s="12"/>
      <c r="E266" s="12"/>
    </row>
    <row r="267">
      <c r="D267" s="12"/>
      <c r="E267" s="12"/>
    </row>
    <row r="268">
      <c r="D268" s="12"/>
      <c r="E268" s="12"/>
    </row>
    <row r="269">
      <c r="D269" s="12"/>
      <c r="E269" s="12"/>
    </row>
    <row r="270">
      <c r="D270" s="12"/>
      <c r="E270" s="12"/>
    </row>
    <row r="271">
      <c r="D271" s="12"/>
      <c r="E271" s="12"/>
    </row>
    <row r="272">
      <c r="D272" s="12"/>
      <c r="E272" s="12"/>
    </row>
    <row r="273">
      <c r="D273" s="12"/>
      <c r="E273" s="12"/>
    </row>
    <row r="274">
      <c r="D274" s="12"/>
      <c r="E274" s="12"/>
    </row>
    <row r="275">
      <c r="D275" s="12"/>
      <c r="E275" s="12"/>
    </row>
    <row r="276">
      <c r="D276" s="12"/>
      <c r="E276" s="12"/>
    </row>
    <row r="277">
      <c r="D277" s="12"/>
      <c r="E277" s="12"/>
    </row>
    <row r="278">
      <c r="D278" s="12"/>
      <c r="E278" s="12"/>
    </row>
    <row r="279">
      <c r="D279" s="12"/>
      <c r="E279" s="12"/>
    </row>
    <row r="280">
      <c r="D280" s="12"/>
      <c r="E280" s="12"/>
    </row>
    <row r="281">
      <c r="D281" s="12"/>
      <c r="E281" s="12"/>
    </row>
    <row r="282">
      <c r="D282" s="12"/>
      <c r="E282" s="12"/>
    </row>
    <row r="283">
      <c r="D283" s="12"/>
      <c r="E283" s="12"/>
    </row>
    <row r="284">
      <c r="D284" s="12"/>
      <c r="E284" s="12"/>
    </row>
    <row r="285">
      <c r="D285" s="12"/>
      <c r="E285" s="12"/>
    </row>
    <row r="286">
      <c r="D286" s="12"/>
      <c r="E286" s="12"/>
    </row>
    <row r="287">
      <c r="D287" s="12"/>
      <c r="E287" s="12"/>
    </row>
    <row r="288">
      <c r="D288" s="12"/>
      <c r="E288" s="12"/>
    </row>
    <row r="289">
      <c r="D289" s="12"/>
      <c r="E289" s="12"/>
    </row>
    <row r="290">
      <c r="D290" s="12"/>
      <c r="E290" s="12"/>
    </row>
    <row r="291">
      <c r="D291" s="12"/>
      <c r="E291" s="12"/>
    </row>
    <row r="292">
      <c r="D292" s="12"/>
      <c r="E292" s="12"/>
    </row>
    <row r="293">
      <c r="D293" s="12"/>
      <c r="E293" s="12"/>
    </row>
    <row r="294">
      <c r="D294" s="12"/>
      <c r="E294" s="12"/>
    </row>
    <row r="295">
      <c r="D295" s="12"/>
      <c r="E295" s="12"/>
    </row>
    <row r="296">
      <c r="D296" s="12"/>
      <c r="E296" s="12"/>
    </row>
    <row r="297">
      <c r="D297" s="12"/>
      <c r="E297" s="12"/>
    </row>
    <row r="298">
      <c r="D298" s="12"/>
      <c r="E298" s="12"/>
    </row>
    <row r="299">
      <c r="D299" s="12"/>
      <c r="E299" s="12"/>
    </row>
    <row r="300">
      <c r="D300" s="12"/>
      <c r="E300" s="12"/>
    </row>
    <row r="301">
      <c r="D301" s="12"/>
      <c r="E301" s="12"/>
    </row>
    <row r="302">
      <c r="D302" s="12"/>
      <c r="E302" s="12"/>
    </row>
    <row r="303">
      <c r="D303" s="12"/>
      <c r="E303" s="12"/>
    </row>
    <row r="304">
      <c r="D304" s="12"/>
      <c r="E304" s="12"/>
    </row>
    <row r="305">
      <c r="D305" s="12"/>
      <c r="E305" s="12"/>
    </row>
    <row r="306">
      <c r="D306" s="12"/>
      <c r="E306" s="12"/>
    </row>
    <row r="307">
      <c r="D307" s="12"/>
      <c r="E307" s="12"/>
    </row>
    <row r="308">
      <c r="D308" s="12"/>
      <c r="E308" s="12"/>
    </row>
    <row r="309">
      <c r="D309" s="12"/>
      <c r="E309" s="12"/>
    </row>
    <row r="310">
      <c r="D310" s="12"/>
      <c r="E310" s="12"/>
    </row>
    <row r="311">
      <c r="D311" s="12"/>
      <c r="E311" s="12"/>
    </row>
    <row r="312">
      <c r="D312" s="12"/>
      <c r="E312" s="12"/>
    </row>
    <row r="313">
      <c r="D313" s="12"/>
      <c r="E313" s="12"/>
    </row>
    <row r="314">
      <c r="D314" s="12"/>
      <c r="E314" s="12"/>
    </row>
    <row r="315">
      <c r="D315" s="12"/>
      <c r="E315" s="12"/>
    </row>
    <row r="316">
      <c r="D316" s="12"/>
      <c r="E316" s="12"/>
    </row>
    <row r="317">
      <c r="D317" s="12"/>
      <c r="E317" s="12"/>
    </row>
    <row r="318">
      <c r="D318" s="12"/>
      <c r="E318" s="12"/>
    </row>
    <row r="319">
      <c r="D319" s="12"/>
      <c r="E319" s="12"/>
    </row>
    <row r="320">
      <c r="D320" s="12"/>
      <c r="E320" s="12"/>
    </row>
    <row r="321">
      <c r="D321" s="12"/>
      <c r="E321" s="12"/>
    </row>
    <row r="322">
      <c r="D322" s="12"/>
      <c r="E322" s="12"/>
    </row>
    <row r="323">
      <c r="D323" s="12"/>
      <c r="E323" s="12"/>
    </row>
    <row r="324">
      <c r="D324" s="12"/>
      <c r="E324" s="12"/>
    </row>
    <row r="325">
      <c r="D325" s="12"/>
      <c r="E325" s="12"/>
    </row>
    <row r="326">
      <c r="D326" s="12"/>
      <c r="E326" s="12"/>
    </row>
    <row r="327">
      <c r="D327" s="12"/>
      <c r="E327" s="12"/>
    </row>
    <row r="328">
      <c r="D328" s="12"/>
      <c r="E328" s="12"/>
    </row>
    <row r="329">
      <c r="D329" s="12"/>
      <c r="E329" s="12"/>
    </row>
    <row r="330">
      <c r="D330" s="12"/>
      <c r="E330" s="12"/>
    </row>
    <row r="331">
      <c r="D331" s="12"/>
      <c r="E331" s="12"/>
    </row>
    <row r="332">
      <c r="D332" s="12"/>
      <c r="E332" s="12"/>
    </row>
    <row r="333">
      <c r="D333" s="12"/>
      <c r="E333" s="12"/>
    </row>
    <row r="334">
      <c r="D334" s="12"/>
      <c r="E334" s="12"/>
    </row>
    <row r="335">
      <c r="D335" s="12"/>
      <c r="E335" s="12"/>
    </row>
    <row r="336">
      <c r="D336" s="12"/>
      <c r="E336" s="12"/>
    </row>
    <row r="337">
      <c r="D337" s="12"/>
      <c r="E337" s="12"/>
    </row>
    <row r="338">
      <c r="D338" s="12"/>
      <c r="E338" s="12"/>
    </row>
    <row r="339">
      <c r="D339" s="12"/>
      <c r="E339" s="12"/>
    </row>
    <row r="340">
      <c r="D340" s="12"/>
      <c r="E340" s="12"/>
    </row>
    <row r="341">
      <c r="D341" s="12"/>
      <c r="E341" s="12"/>
    </row>
    <row r="342">
      <c r="D342" s="12"/>
      <c r="E342" s="12"/>
    </row>
    <row r="343">
      <c r="D343" s="12"/>
      <c r="E343" s="12"/>
    </row>
    <row r="344">
      <c r="D344" s="12"/>
      <c r="E344" s="12"/>
    </row>
    <row r="345">
      <c r="D345" s="12"/>
      <c r="E345" s="12"/>
    </row>
    <row r="346">
      <c r="D346" s="12"/>
      <c r="E346" s="12"/>
    </row>
    <row r="347">
      <c r="D347" s="12"/>
      <c r="E347" s="12"/>
    </row>
    <row r="348">
      <c r="D348" s="12"/>
      <c r="E348" s="12"/>
    </row>
    <row r="349">
      <c r="D349" s="12"/>
      <c r="E349" s="12"/>
    </row>
    <row r="350">
      <c r="D350" s="12"/>
      <c r="E350" s="12"/>
    </row>
    <row r="351">
      <c r="D351" s="12"/>
      <c r="E351" s="12"/>
    </row>
    <row r="352">
      <c r="D352" s="12"/>
      <c r="E352" s="12"/>
    </row>
    <row r="353">
      <c r="D353" s="12"/>
      <c r="E353" s="12"/>
    </row>
    <row r="354">
      <c r="D354" s="12"/>
      <c r="E354" s="12"/>
    </row>
    <row r="355">
      <c r="D355" s="12"/>
      <c r="E355" s="12"/>
    </row>
    <row r="356">
      <c r="D356" s="12"/>
      <c r="E356" s="12"/>
    </row>
    <row r="357">
      <c r="D357" s="12"/>
      <c r="E357" s="12"/>
    </row>
    <row r="358">
      <c r="D358" s="12"/>
      <c r="E358" s="12"/>
    </row>
    <row r="359">
      <c r="D359" s="12"/>
      <c r="E359" s="12"/>
    </row>
    <row r="360">
      <c r="D360" s="12"/>
      <c r="E360" s="12"/>
    </row>
    <row r="361">
      <c r="D361" s="12"/>
      <c r="E361" s="12"/>
    </row>
    <row r="362">
      <c r="D362" s="12"/>
      <c r="E362" s="12"/>
    </row>
    <row r="363">
      <c r="D363" s="12"/>
      <c r="E363" s="12"/>
    </row>
    <row r="364">
      <c r="D364" s="12"/>
      <c r="E364" s="12"/>
    </row>
    <row r="365">
      <c r="D365" s="12"/>
      <c r="E365" s="12"/>
    </row>
    <row r="366">
      <c r="D366" s="12"/>
      <c r="E366" s="12"/>
    </row>
    <row r="367">
      <c r="D367" s="12"/>
      <c r="E367" s="12"/>
    </row>
    <row r="368">
      <c r="D368" s="12"/>
      <c r="E368" s="12"/>
    </row>
    <row r="369">
      <c r="D369" s="12"/>
      <c r="E369" s="12"/>
    </row>
    <row r="370">
      <c r="D370" s="12"/>
      <c r="E370" s="12"/>
    </row>
    <row r="371">
      <c r="D371" s="12"/>
      <c r="E371" s="12"/>
    </row>
    <row r="372">
      <c r="D372" s="12"/>
      <c r="E372" s="12"/>
    </row>
    <row r="373">
      <c r="D373" s="12"/>
      <c r="E373" s="12"/>
    </row>
    <row r="374">
      <c r="D374" s="12"/>
      <c r="E374" s="12"/>
    </row>
    <row r="375">
      <c r="D375" s="12"/>
      <c r="E375" s="12"/>
    </row>
    <row r="376">
      <c r="D376" s="12"/>
      <c r="E376" s="12"/>
    </row>
    <row r="377">
      <c r="D377" s="12"/>
      <c r="E377" s="12"/>
    </row>
    <row r="378">
      <c r="D378" s="12"/>
      <c r="E378" s="12"/>
    </row>
    <row r="379">
      <c r="D379" s="12"/>
      <c r="E379" s="12"/>
    </row>
    <row r="380">
      <c r="D380" s="12"/>
      <c r="E380" s="12"/>
    </row>
    <row r="381">
      <c r="D381" s="12"/>
      <c r="E381" s="12"/>
    </row>
    <row r="382">
      <c r="D382" s="12"/>
      <c r="E382" s="12"/>
    </row>
    <row r="383">
      <c r="D383" s="12"/>
      <c r="E383" s="12"/>
    </row>
    <row r="384">
      <c r="D384" s="12"/>
      <c r="E384" s="12"/>
    </row>
    <row r="385">
      <c r="D385" s="12"/>
      <c r="E385" s="12"/>
    </row>
    <row r="386">
      <c r="D386" s="12"/>
      <c r="E386" s="12"/>
    </row>
    <row r="387">
      <c r="D387" s="12"/>
      <c r="E387" s="12"/>
    </row>
    <row r="388">
      <c r="D388" s="12"/>
      <c r="E388" s="12"/>
    </row>
    <row r="389">
      <c r="D389" s="12"/>
      <c r="E389" s="12"/>
    </row>
    <row r="390">
      <c r="D390" s="12"/>
      <c r="E390" s="12"/>
    </row>
    <row r="391">
      <c r="D391" s="12"/>
      <c r="E391" s="12"/>
    </row>
    <row r="392">
      <c r="D392" s="12"/>
      <c r="E392" s="12"/>
    </row>
    <row r="393">
      <c r="D393" s="12"/>
      <c r="E393" s="12"/>
    </row>
    <row r="394">
      <c r="D394" s="12"/>
      <c r="E394" s="12"/>
    </row>
    <row r="395">
      <c r="D395" s="12"/>
      <c r="E395" s="12"/>
    </row>
    <row r="396">
      <c r="D396" s="12"/>
      <c r="E396" s="12"/>
    </row>
    <row r="397">
      <c r="D397" s="12"/>
      <c r="E397" s="12"/>
    </row>
    <row r="398">
      <c r="D398" s="12"/>
      <c r="E398" s="12"/>
    </row>
    <row r="399">
      <c r="D399" s="12"/>
      <c r="E399" s="12"/>
    </row>
    <row r="400">
      <c r="D400" s="12"/>
      <c r="E400" s="12"/>
    </row>
    <row r="401">
      <c r="D401" s="12"/>
      <c r="E401" s="12"/>
    </row>
    <row r="402">
      <c r="D402" s="12"/>
      <c r="E402" s="12"/>
    </row>
    <row r="403">
      <c r="D403" s="12"/>
      <c r="E403" s="12"/>
    </row>
    <row r="404">
      <c r="D404" s="12"/>
      <c r="E404" s="12"/>
    </row>
    <row r="405">
      <c r="D405" s="12"/>
      <c r="E405" s="12"/>
    </row>
    <row r="406">
      <c r="D406" s="12"/>
      <c r="E406" s="12"/>
    </row>
    <row r="407">
      <c r="D407" s="12"/>
      <c r="E407" s="12"/>
    </row>
    <row r="408">
      <c r="D408" s="12"/>
      <c r="E408" s="12"/>
    </row>
    <row r="409">
      <c r="D409" s="12"/>
      <c r="E409" s="12"/>
    </row>
    <row r="410">
      <c r="D410" s="12"/>
      <c r="E410" s="12"/>
    </row>
    <row r="411">
      <c r="D411" s="12"/>
      <c r="E411" s="12"/>
    </row>
    <row r="412">
      <c r="D412" s="12"/>
      <c r="E412" s="12"/>
    </row>
    <row r="413">
      <c r="D413" s="12"/>
      <c r="E413" s="12"/>
    </row>
    <row r="414">
      <c r="D414" s="12"/>
      <c r="E414" s="12"/>
    </row>
    <row r="415">
      <c r="D415" s="12"/>
      <c r="E415" s="12"/>
    </row>
    <row r="416">
      <c r="D416" s="12"/>
      <c r="E416" s="12"/>
    </row>
    <row r="417">
      <c r="D417" s="12"/>
      <c r="E417" s="12"/>
    </row>
    <row r="418">
      <c r="D418" s="12"/>
      <c r="E418" s="12"/>
    </row>
    <row r="419">
      <c r="D419" s="12"/>
      <c r="E419" s="12"/>
    </row>
    <row r="420">
      <c r="D420" s="12"/>
      <c r="E420" s="12"/>
    </row>
    <row r="421">
      <c r="D421" s="12"/>
      <c r="E421" s="12"/>
    </row>
    <row r="422">
      <c r="D422" s="12"/>
      <c r="E422" s="12"/>
    </row>
    <row r="423">
      <c r="D423" s="12"/>
      <c r="E423" s="12"/>
    </row>
    <row r="424">
      <c r="D424" s="12"/>
      <c r="E424" s="12"/>
    </row>
    <row r="425">
      <c r="D425" s="12"/>
      <c r="E425" s="12"/>
    </row>
    <row r="426">
      <c r="D426" s="12"/>
      <c r="E426" s="12"/>
    </row>
    <row r="427">
      <c r="D427" s="12"/>
      <c r="E427" s="12"/>
    </row>
    <row r="428">
      <c r="D428" s="12"/>
      <c r="E428" s="12"/>
    </row>
    <row r="429">
      <c r="D429" s="12"/>
      <c r="E429" s="12"/>
    </row>
    <row r="430">
      <c r="D430" s="12"/>
      <c r="E430" s="12"/>
    </row>
    <row r="431">
      <c r="D431" s="12"/>
      <c r="E431" s="12"/>
    </row>
    <row r="432">
      <c r="D432" s="12"/>
      <c r="E432" s="12"/>
    </row>
    <row r="433">
      <c r="D433" s="12"/>
      <c r="E433" s="12"/>
    </row>
    <row r="434">
      <c r="D434" s="12"/>
      <c r="E434" s="12"/>
    </row>
    <row r="435">
      <c r="D435" s="12"/>
      <c r="E435" s="12"/>
    </row>
    <row r="436">
      <c r="D436" s="12"/>
      <c r="E436" s="12"/>
    </row>
    <row r="437">
      <c r="D437" s="12"/>
      <c r="E437" s="12"/>
    </row>
    <row r="438">
      <c r="D438" s="12"/>
      <c r="E438" s="12"/>
    </row>
    <row r="439">
      <c r="D439" s="12"/>
      <c r="E439" s="12"/>
    </row>
    <row r="440">
      <c r="D440" s="12"/>
      <c r="E440" s="12"/>
    </row>
    <row r="441">
      <c r="D441" s="12"/>
      <c r="E441" s="12"/>
    </row>
    <row r="442">
      <c r="D442" s="12"/>
      <c r="E442" s="12"/>
    </row>
    <row r="443">
      <c r="D443" s="12"/>
      <c r="E443" s="12"/>
    </row>
    <row r="444">
      <c r="D444" s="12"/>
      <c r="E444" s="12"/>
    </row>
    <row r="445">
      <c r="D445" s="12"/>
      <c r="E445" s="12"/>
    </row>
    <row r="446">
      <c r="D446" s="12"/>
      <c r="E446" s="12"/>
    </row>
    <row r="447">
      <c r="D447" s="12"/>
      <c r="E447" s="12"/>
    </row>
    <row r="448">
      <c r="D448" s="12"/>
      <c r="E448" s="12"/>
    </row>
    <row r="449">
      <c r="D449" s="12"/>
      <c r="E449" s="12"/>
    </row>
    <row r="450">
      <c r="D450" s="12"/>
      <c r="E450" s="12"/>
    </row>
    <row r="451">
      <c r="D451" s="12"/>
      <c r="E451" s="12"/>
    </row>
    <row r="452">
      <c r="D452" s="12"/>
      <c r="E452" s="12"/>
    </row>
    <row r="453">
      <c r="D453" s="12"/>
      <c r="E453" s="12"/>
    </row>
    <row r="454">
      <c r="D454" s="12"/>
      <c r="E454" s="12"/>
    </row>
    <row r="455">
      <c r="D455" s="12"/>
      <c r="E455" s="12"/>
    </row>
    <row r="456">
      <c r="D456" s="12"/>
      <c r="E456" s="12"/>
    </row>
    <row r="457">
      <c r="D457" s="12"/>
      <c r="E457" s="12"/>
    </row>
    <row r="458">
      <c r="D458" s="12"/>
      <c r="E458" s="12"/>
    </row>
    <row r="459">
      <c r="D459" s="12"/>
      <c r="E459" s="12"/>
    </row>
    <row r="460">
      <c r="D460" s="12"/>
      <c r="E460" s="12"/>
    </row>
    <row r="461">
      <c r="D461" s="12"/>
      <c r="E461" s="12"/>
    </row>
    <row r="462">
      <c r="D462" s="12"/>
      <c r="E462" s="12"/>
    </row>
    <row r="463">
      <c r="D463" s="12"/>
      <c r="E463" s="12"/>
    </row>
    <row r="464">
      <c r="D464" s="12"/>
      <c r="E464" s="12"/>
    </row>
    <row r="465">
      <c r="D465" s="12"/>
      <c r="E465" s="12"/>
    </row>
    <row r="466">
      <c r="D466" s="12"/>
      <c r="E466" s="12"/>
    </row>
    <row r="467">
      <c r="D467" s="12"/>
      <c r="E467" s="12"/>
    </row>
    <row r="468">
      <c r="D468" s="12"/>
      <c r="E468" s="12"/>
    </row>
    <row r="469">
      <c r="D469" s="12"/>
      <c r="E469" s="12"/>
    </row>
    <row r="470">
      <c r="D470" s="12"/>
      <c r="E470" s="12"/>
    </row>
    <row r="471">
      <c r="D471" s="12"/>
      <c r="E471" s="12"/>
    </row>
    <row r="472">
      <c r="D472" s="12"/>
      <c r="E472" s="12"/>
    </row>
    <row r="473">
      <c r="D473" s="12"/>
      <c r="E473" s="12"/>
    </row>
    <row r="474">
      <c r="D474" s="12"/>
      <c r="E474" s="12"/>
    </row>
    <row r="475">
      <c r="D475" s="12"/>
      <c r="E475" s="12"/>
    </row>
    <row r="476">
      <c r="D476" s="12"/>
      <c r="E476" s="12"/>
    </row>
    <row r="477">
      <c r="D477" s="12"/>
      <c r="E477" s="12"/>
    </row>
    <row r="478">
      <c r="D478" s="12"/>
      <c r="E478" s="12"/>
    </row>
    <row r="479">
      <c r="D479" s="12"/>
      <c r="E479" s="12"/>
    </row>
    <row r="480">
      <c r="D480" s="12"/>
      <c r="E480" s="12"/>
    </row>
    <row r="481">
      <c r="D481" s="12"/>
      <c r="E481" s="12"/>
    </row>
    <row r="482">
      <c r="D482" s="12"/>
      <c r="E482" s="12"/>
    </row>
    <row r="483">
      <c r="D483" s="12"/>
      <c r="E483" s="12"/>
    </row>
    <row r="484">
      <c r="D484" s="12"/>
      <c r="E484" s="12"/>
    </row>
    <row r="485">
      <c r="D485" s="12"/>
      <c r="E485" s="12"/>
    </row>
    <row r="486">
      <c r="D486" s="12"/>
      <c r="E486" s="12"/>
    </row>
    <row r="487">
      <c r="D487" s="12"/>
      <c r="E487" s="12"/>
    </row>
    <row r="488">
      <c r="D488" s="12"/>
      <c r="E488" s="12"/>
    </row>
    <row r="489">
      <c r="D489" s="12"/>
      <c r="E489" s="12"/>
    </row>
    <row r="490">
      <c r="D490" s="12"/>
      <c r="E490" s="12"/>
    </row>
    <row r="491">
      <c r="D491" s="12"/>
      <c r="E491" s="12"/>
    </row>
    <row r="492">
      <c r="D492" s="12"/>
      <c r="E492" s="12"/>
    </row>
    <row r="493">
      <c r="D493" s="12"/>
      <c r="E493" s="12"/>
    </row>
    <row r="494">
      <c r="D494" s="12"/>
      <c r="E494" s="12"/>
    </row>
    <row r="495">
      <c r="D495" s="12"/>
      <c r="E495" s="12"/>
    </row>
    <row r="496">
      <c r="D496" s="12"/>
      <c r="E496" s="12"/>
    </row>
    <row r="497">
      <c r="D497" s="12"/>
      <c r="E497" s="12"/>
    </row>
    <row r="498">
      <c r="D498" s="12"/>
      <c r="E498" s="12"/>
    </row>
    <row r="499">
      <c r="D499" s="12"/>
      <c r="E499" s="12"/>
    </row>
    <row r="500">
      <c r="D500" s="12"/>
      <c r="E500" s="12"/>
    </row>
    <row r="501">
      <c r="D501" s="12"/>
      <c r="E501" s="12"/>
    </row>
    <row r="502">
      <c r="D502" s="12"/>
      <c r="E502" s="12"/>
    </row>
    <row r="503">
      <c r="D503" s="12"/>
      <c r="E503" s="12"/>
    </row>
    <row r="504">
      <c r="D504" s="12"/>
      <c r="E504" s="12"/>
    </row>
    <row r="505">
      <c r="D505" s="12"/>
      <c r="E505" s="12"/>
    </row>
    <row r="506">
      <c r="D506" s="12"/>
      <c r="E506" s="12"/>
    </row>
    <row r="507">
      <c r="D507" s="12"/>
      <c r="E507" s="12"/>
    </row>
    <row r="508">
      <c r="D508" s="12"/>
      <c r="E508" s="12"/>
    </row>
    <row r="509">
      <c r="D509" s="12"/>
      <c r="E509" s="12"/>
    </row>
    <row r="510">
      <c r="D510" s="12"/>
      <c r="E510" s="12"/>
    </row>
    <row r="511">
      <c r="D511" s="12"/>
      <c r="E511" s="12"/>
    </row>
    <row r="512">
      <c r="D512" s="12"/>
      <c r="E512" s="12"/>
    </row>
    <row r="513">
      <c r="D513" s="12"/>
      <c r="E513" s="12"/>
    </row>
    <row r="514">
      <c r="D514" s="12"/>
      <c r="E514" s="12"/>
    </row>
    <row r="515">
      <c r="D515" s="12"/>
      <c r="E515" s="12"/>
    </row>
    <row r="516">
      <c r="D516" s="12"/>
      <c r="E516" s="12"/>
    </row>
    <row r="517">
      <c r="D517" s="12"/>
      <c r="E517" s="12"/>
    </row>
    <row r="518">
      <c r="D518" s="12"/>
      <c r="E518" s="12"/>
    </row>
    <row r="519">
      <c r="D519" s="12"/>
      <c r="E519" s="12"/>
    </row>
    <row r="520">
      <c r="D520" s="12"/>
      <c r="E520" s="12"/>
    </row>
    <row r="521">
      <c r="D521" s="12"/>
      <c r="E521" s="12"/>
    </row>
    <row r="522">
      <c r="D522" s="12"/>
      <c r="E522" s="12"/>
    </row>
    <row r="523">
      <c r="D523" s="12"/>
      <c r="E523" s="12"/>
    </row>
    <row r="524">
      <c r="D524" s="12"/>
      <c r="E524" s="12"/>
    </row>
    <row r="525">
      <c r="D525" s="12"/>
      <c r="E525" s="12"/>
    </row>
    <row r="526">
      <c r="D526" s="12"/>
      <c r="E526" s="12"/>
    </row>
    <row r="527">
      <c r="D527" s="12"/>
      <c r="E527" s="12"/>
    </row>
    <row r="528">
      <c r="D528" s="12"/>
      <c r="E528" s="12"/>
    </row>
    <row r="529">
      <c r="D529" s="12"/>
      <c r="E529" s="12"/>
    </row>
    <row r="530">
      <c r="D530" s="12"/>
      <c r="E530" s="12"/>
    </row>
    <row r="531">
      <c r="D531" s="12"/>
      <c r="E531" s="12"/>
    </row>
    <row r="532">
      <c r="D532" s="12"/>
      <c r="E532" s="12"/>
    </row>
    <row r="533">
      <c r="D533" s="12"/>
      <c r="E533" s="12"/>
    </row>
    <row r="534">
      <c r="D534" s="12"/>
      <c r="E534" s="12"/>
    </row>
    <row r="535">
      <c r="D535" s="12"/>
      <c r="E535" s="12"/>
    </row>
    <row r="536">
      <c r="D536" s="12"/>
      <c r="E536" s="12"/>
    </row>
    <row r="537">
      <c r="D537" s="12"/>
      <c r="E537" s="12"/>
    </row>
    <row r="538">
      <c r="D538" s="12"/>
      <c r="E538" s="12"/>
    </row>
    <row r="539">
      <c r="D539" s="12"/>
      <c r="E539" s="12"/>
    </row>
    <row r="540">
      <c r="D540" s="12"/>
      <c r="E540" s="12"/>
    </row>
    <row r="541">
      <c r="D541" s="12"/>
      <c r="E541" s="12"/>
    </row>
    <row r="542">
      <c r="D542" s="12"/>
      <c r="E542" s="12"/>
    </row>
    <row r="543">
      <c r="D543" s="12"/>
      <c r="E543" s="12"/>
    </row>
    <row r="544">
      <c r="D544" s="12"/>
      <c r="E544" s="12"/>
    </row>
    <row r="545">
      <c r="D545" s="12"/>
      <c r="E545" s="12"/>
    </row>
    <row r="546">
      <c r="D546" s="12"/>
      <c r="E546" s="12"/>
    </row>
    <row r="547">
      <c r="D547" s="12"/>
      <c r="E547" s="12"/>
    </row>
    <row r="548">
      <c r="D548" s="12"/>
      <c r="E548" s="12"/>
    </row>
    <row r="549">
      <c r="D549" s="12"/>
      <c r="E549" s="12"/>
    </row>
    <row r="550">
      <c r="D550" s="12"/>
      <c r="E550" s="12"/>
    </row>
    <row r="551">
      <c r="D551" s="12"/>
      <c r="E551" s="12"/>
    </row>
    <row r="552">
      <c r="D552" s="12"/>
      <c r="E552" s="12"/>
    </row>
    <row r="553">
      <c r="D553" s="12"/>
      <c r="E553" s="12"/>
    </row>
    <row r="554">
      <c r="D554" s="12"/>
      <c r="E554" s="12"/>
    </row>
    <row r="555">
      <c r="D555" s="12"/>
      <c r="E555" s="12"/>
    </row>
    <row r="556">
      <c r="D556" s="12"/>
      <c r="E556" s="12"/>
    </row>
    <row r="557">
      <c r="D557" s="12"/>
      <c r="E557" s="12"/>
    </row>
    <row r="558">
      <c r="D558" s="12"/>
      <c r="E558" s="12"/>
    </row>
    <row r="559">
      <c r="D559" s="12"/>
      <c r="E559" s="12"/>
    </row>
    <row r="560">
      <c r="D560" s="12"/>
      <c r="E560" s="12"/>
    </row>
    <row r="561">
      <c r="D561" s="12"/>
      <c r="E561" s="12"/>
    </row>
    <row r="562">
      <c r="D562" s="12"/>
      <c r="E562" s="12"/>
    </row>
    <row r="563">
      <c r="D563" s="12"/>
      <c r="E563" s="12"/>
    </row>
    <row r="564">
      <c r="D564" s="12"/>
      <c r="E564" s="12"/>
    </row>
    <row r="565">
      <c r="D565" s="12"/>
      <c r="E565" s="12"/>
    </row>
    <row r="566">
      <c r="D566" s="12"/>
      <c r="E566" s="12"/>
    </row>
    <row r="567">
      <c r="D567" s="12"/>
      <c r="E567" s="12"/>
    </row>
    <row r="568">
      <c r="D568" s="12"/>
      <c r="E568" s="12"/>
    </row>
    <row r="569">
      <c r="D569" s="12"/>
      <c r="E569" s="12"/>
    </row>
    <row r="570">
      <c r="D570" s="12"/>
      <c r="E570" s="12"/>
    </row>
    <row r="571">
      <c r="D571" s="12"/>
      <c r="E571" s="12"/>
    </row>
    <row r="572">
      <c r="D572" s="12"/>
      <c r="E572" s="12"/>
    </row>
    <row r="573">
      <c r="D573" s="12"/>
      <c r="E573" s="12"/>
    </row>
    <row r="574">
      <c r="D574" s="12"/>
      <c r="E574" s="12"/>
    </row>
    <row r="575">
      <c r="D575" s="12"/>
      <c r="E575" s="12"/>
    </row>
    <row r="576">
      <c r="D576" s="12"/>
      <c r="E576" s="12"/>
    </row>
    <row r="577">
      <c r="D577" s="12"/>
      <c r="E577" s="12"/>
    </row>
    <row r="578">
      <c r="D578" s="12"/>
      <c r="E578" s="12"/>
    </row>
    <row r="579">
      <c r="D579" s="12"/>
      <c r="E579" s="12"/>
    </row>
    <row r="580">
      <c r="D580" s="12"/>
      <c r="E580" s="12"/>
    </row>
    <row r="581">
      <c r="D581" s="12"/>
      <c r="E581" s="12"/>
    </row>
    <row r="582">
      <c r="D582" s="12"/>
      <c r="E582" s="12"/>
    </row>
    <row r="583">
      <c r="D583" s="12"/>
      <c r="E583" s="12"/>
    </row>
    <row r="584">
      <c r="D584" s="12"/>
      <c r="E584" s="12"/>
    </row>
    <row r="585">
      <c r="D585" s="12"/>
      <c r="E585" s="12"/>
    </row>
    <row r="586">
      <c r="D586" s="12"/>
      <c r="E586" s="12"/>
    </row>
    <row r="587">
      <c r="D587" s="12"/>
      <c r="E587" s="12"/>
    </row>
    <row r="588">
      <c r="D588" s="12"/>
      <c r="E588" s="12"/>
    </row>
    <row r="589">
      <c r="D589" s="12"/>
      <c r="E589" s="12"/>
    </row>
    <row r="590">
      <c r="D590" s="12"/>
      <c r="E590" s="12"/>
    </row>
    <row r="591">
      <c r="D591" s="12"/>
      <c r="E591" s="12"/>
    </row>
    <row r="592">
      <c r="D592" s="12"/>
      <c r="E592" s="12"/>
    </row>
    <row r="593">
      <c r="D593" s="12"/>
      <c r="E593" s="12"/>
    </row>
    <row r="594">
      <c r="D594" s="12"/>
      <c r="E594" s="12"/>
    </row>
    <row r="595">
      <c r="D595" s="12"/>
      <c r="E595" s="12"/>
    </row>
    <row r="596">
      <c r="D596" s="12"/>
      <c r="E596" s="12"/>
    </row>
    <row r="597">
      <c r="D597" s="12"/>
      <c r="E597" s="12"/>
    </row>
    <row r="598">
      <c r="D598" s="12"/>
      <c r="E598" s="12"/>
    </row>
    <row r="599">
      <c r="D599" s="12"/>
      <c r="E599" s="12"/>
    </row>
    <row r="600">
      <c r="D600" s="12"/>
      <c r="E600" s="12"/>
    </row>
    <row r="601">
      <c r="D601" s="12"/>
      <c r="E601" s="12"/>
    </row>
    <row r="602">
      <c r="D602" s="12"/>
      <c r="E602" s="12"/>
    </row>
    <row r="603">
      <c r="D603" s="12"/>
      <c r="E603" s="12"/>
    </row>
    <row r="604">
      <c r="D604" s="12"/>
      <c r="E604" s="12"/>
    </row>
    <row r="605">
      <c r="D605" s="12"/>
      <c r="E605" s="12"/>
    </row>
    <row r="606">
      <c r="D606" s="12"/>
      <c r="E606" s="12"/>
    </row>
    <row r="607">
      <c r="D607" s="12"/>
      <c r="E607" s="12"/>
    </row>
    <row r="608">
      <c r="D608" s="12"/>
      <c r="E608" s="12"/>
    </row>
    <row r="609">
      <c r="D609" s="12"/>
      <c r="E609" s="12"/>
    </row>
    <row r="610">
      <c r="D610" s="12"/>
      <c r="E610" s="12"/>
    </row>
    <row r="611">
      <c r="D611" s="12"/>
      <c r="E611" s="12"/>
    </row>
    <row r="612">
      <c r="D612" s="12"/>
      <c r="E612" s="12"/>
    </row>
    <row r="613">
      <c r="D613" s="12"/>
      <c r="E613" s="12"/>
    </row>
    <row r="614">
      <c r="D614" s="12"/>
      <c r="E614" s="12"/>
    </row>
    <row r="615">
      <c r="D615" s="12"/>
      <c r="E615" s="12"/>
    </row>
    <row r="616">
      <c r="D616" s="12"/>
      <c r="E616" s="12"/>
    </row>
    <row r="617">
      <c r="D617" s="12"/>
      <c r="E617" s="12"/>
    </row>
    <row r="618">
      <c r="D618" s="12"/>
      <c r="E618" s="12"/>
    </row>
    <row r="619">
      <c r="D619" s="12"/>
      <c r="E619" s="12"/>
    </row>
    <row r="620">
      <c r="D620" s="12"/>
      <c r="E620" s="12"/>
    </row>
    <row r="621">
      <c r="D621" s="12"/>
      <c r="E621" s="12"/>
    </row>
    <row r="622">
      <c r="D622" s="12"/>
      <c r="E622" s="12"/>
    </row>
    <row r="623">
      <c r="D623" s="12"/>
      <c r="E623" s="12"/>
    </row>
    <row r="624">
      <c r="D624" s="12"/>
      <c r="E624" s="12"/>
    </row>
    <row r="625">
      <c r="D625" s="12"/>
      <c r="E625" s="12"/>
    </row>
    <row r="626">
      <c r="D626" s="12"/>
      <c r="E626" s="12"/>
    </row>
    <row r="627">
      <c r="D627" s="12"/>
      <c r="E627" s="12"/>
    </row>
    <row r="628">
      <c r="D628" s="12"/>
      <c r="E628" s="12"/>
    </row>
    <row r="629">
      <c r="D629" s="12"/>
      <c r="E629" s="12"/>
    </row>
    <row r="630">
      <c r="D630" s="12"/>
      <c r="E630" s="12"/>
    </row>
    <row r="631">
      <c r="D631" s="12"/>
      <c r="E631" s="12"/>
    </row>
    <row r="632">
      <c r="D632" s="12"/>
      <c r="E632" s="12"/>
    </row>
    <row r="633">
      <c r="D633" s="12"/>
      <c r="E633" s="12"/>
    </row>
    <row r="634">
      <c r="D634" s="12"/>
      <c r="E634" s="12"/>
    </row>
    <row r="635">
      <c r="D635" s="12"/>
      <c r="E635" s="12"/>
    </row>
    <row r="636">
      <c r="D636" s="12"/>
      <c r="E636" s="12"/>
    </row>
    <row r="637">
      <c r="D637" s="12"/>
      <c r="E637" s="12"/>
    </row>
    <row r="638">
      <c r="D638" s="12"/>
      <c r="E638" s="12"/>
    </row>
    <row r="639">
      <c r="D639" s="12"/>
      <c r="E639" s="12"/>
    </row>
    <row r="640">
      <c r="D640" s="12"/>
      <c r="E640" s="12"/>
    </row>
    <row r="641">
      <c r="D641" s="12"/>
      <c r="E641" s="12"/>
    </row>
    <row r="642">
      <c r="D642" s="12"/>
      <c r="E642" s="12"/>
    </row>
    <row r="643">
      <c r="D643" s="12"/>
      <c r="E643" s="12"/>
    </row>
    <row r="644">
      <c r="D644" s="12"/>
      <c r="E644" s="12"/>
    </row>
    <row r="645">
      <c r="D645" s="12"/>
      <c r="E645" s="12"/>
    </row>
    <row r="646">
      <c r="D646" s="12"/>
      <c r="E646" s="12"/>
    </row>
    <row r="647">
      <c r="D647" s="12"/>
      <c r="E647" s="12"/>
    </row>
    <row r="648">
      <c r="D648" s="12"/>
      <c r="E648" s="12"/>
    </row>
    <row r="649">
      <c r="D649" s="12"/>
      <c r="E649" s="12"/>
    </row>
    <row r="650">
      <c r="D650" s="12"/>
      <c r="E650" s="12"/>
    </row>
    <row r="651">
      <c r="D651" s="12"/>
      <c r="E651" s="12"/>
    </row>
    <row r="652">
      <c r="D652" s="12"/>
      <c r="E652" s="12"/>
    </row>
    <row r="653">
      <c r="D653" s="12"/>
      <c r="E653" s="12"/>
    </row>
    <row r="654">
      <c r="D654" s="12"/>
      <c r="E654" s="12"/>
    </row>
    <row r="655">
      <c r="D655" s="12"/>
      <c r="E655" s="12"/>
    </row>
    <row r="656">
      <c r="D656" s="12"/>
      <c r="E656" s="12"/>
    </row>
    <row r="657">
      <c r="D657" s="12"/>
      <c r="E657" s="12"/>
    </row>
    <row r="658">
      <c r="D658" s="12"/>
      <c r="E658" s="12"/>
    </row>
    <row r="659">
      <c r="D659" s="12"/>
      <c r="E659" s="12"/>
    </row>
    <row r="660">
      <c r="D660" s="12"/>
      <c r="E660" s="12"/>
    </row>
    <row r="661">
      <c r="D661" s="12"/>
      <c r="E661" s="12"/>
    </row>
    <row r="662">
      <c r="D662" s="12"/>
      <c r="E662" s="12"/>
    </row>
    <row r="663">
      <c r="D663" s="12"/>
      <c r="E663" s="12"/>
    </row>
    <row r="664">
      <c r="D664" s="12"/>
      <c r="E664" s="12"/>
    </row>
    <row r="665">
      <c r="D665" s="12"/>
      <c r="E665" s="12"/>
    </row>
    <row r="666">
      <c r="D666" s="12"/>
      <c r="E666" s="12"/>
    </row>
    <row r="667">
      <c r="D667" s="12"/>
      <c r="E667" s="12"/>
    </row>
    <row r="668">
      <c r="D668" s="12"/>
      <c r="E668" s="12"/>
    </row>
    <row r="669">
      <c r="D669" s="12"/>
      <c r="E669" s="12"/>
    </row>
    <row r="670">
      <c r="D670" s="12"/>
      <c r="E670" s="12"/>
    </row>
    <row r="671">
      <c r="D671" s="12"/>
      <c r="E671" s="12"/>
    </row>
    <row r="672">
      <c r="D672" s="12"/>
      <c r="E672" s="12"/>
    </row>
    <row r="673">
      <c r="D673" s="12"/>
      <c r="E673" s="12"/>
    </row>
    <row r="674">
      <c r="D674" s="12"/>
      <c r="E674" s="12"/>
    </row>
    <row r="675">
      <c r="D675" s="12"/>
      <c r="E675" s="12"/>
    </row>
    <row r="676">
      <c r="D676" s="12"/>
      <c r="E676" s="12"/>
    </row>
    <row r="677">
      <c r="D677" s="12"/>
      <c r="E677" s="12"/>
    </row>
    <row r="678">
      <c r="D678" s="12"/>
      <c r="E678" s="12"/>
    </row>
    <row r="679">
      <c r="D679" s="12"/>
      <c r="E679" s="12"/>
    </row>
    <row r="680">
      <c r="D680" s="12"/>
      <c r="E680" s="12"/>
    </row>
    <row r="681">
      <c r="D681" s="12"/>
      <c r="E681" s="12"/>
    </row>
    <row r="682">
      <c r="D682" s="12"/>
      <c r="E682" s="12"/>
    </row>
    <row r="683">
      <c r="D683" s="12"/>
      <c r="E683" s="12"/>
    </row>
    <row r="684">
      <c r="D684" s="12"/>
      <c r="E684" s="12"/>
    </row>
    <row r="685">
      <c r="D685" s="12"/>
      <c r="E685" s="12"/>
    </row>
    <row r="686">
      <c r="D686" s="12"/>
      <c r="E686" s="12"/>
    </row>
    <row r="687">
      <c r="D687" s="12"/>
      <c r="E687" s="12"/>
    </row>
    <row r="688">
      <c r="D688" s="12"/>
      <c r="E688" s="12"/>
    </row>
    <row r="689">
      <c r="D689" s="12"/>
      <c r="E689" s="12"/>
    </row>
    <row r="690">
      <c r="D690" s="12"/>
      <c r="E690" s="12"/>
    </row>
    <row r="691">
      <c r="D691" s="12"/>
      <c r="E691" s="12"/>
    </row>
    <row r="692">
      <c r="D692" s="12"/>
      <c r="E692" s="12"/>
    </row>
    <row r="693">
      <c r="D693" s="12"/>
      <c r="E693" s="12"/>
    </row>
    <row r="694">
      <c r="D694" s="12"/>
      <c r="E694" s="12"/>
    </row>
    <row r="695">
      <c r="D695" s="12"/>
      <c r="E695" s="12"/>
    </row>
    <row r="696">
      <c r="D696" s="12"/>
      <c r="E696" s="12"/>
    </row>
    <row r="697">
      <c r="D697" s="12"/>
      <c r="E697" s="12"/>
    </row>
    <row r="698">
      <c r="D698" s="12"/>
      <c r="E698" s="12"/>
    </row>
    <row r="699">
      <c r="D699" s="12"/>
      <c r="E699" s="12"/>
    </row>
    <row r="700">
      <c r="D700" s="12"/>
      <c r="E700" s="12"/>
    </row>
    <row r="701">
      <c r="D701" s="12"/>
      <c r="E701" s="12"/>
    </row>
    <row r="702">
      <c r="D702" s="12"/>
      <c r="E702" s="12"/>
    </row>
    <row r="703">
      <c r="D703" s="12"/>
      <c r="E703" s="12"/>
    </row>
    <row r="704">
      <c r="D704" s="12"/>
      <c r="E704" s="12"/>
    </row>
    <row r="705">
      <c r="D705" s="12"/>
      <c r="E705" s="12"/>
    </row>
    <row r="706">
      <c r="D706" s="12"/>
      <c r="E706" s="12"/>
    </row>
    <row r="707">
      <c r="D707" s="12"/>
      <c r="E707" s="12"/>
    </row>
    <row r="708">
      <c r="D708" s="12"/>
      <c r="E708" s="12"/>
    </row>
    <row r="709">
      <c r="D709" s="12"/>
      <c r="E709" s="12"/>
    </row>
    <row r="710">
      <c r="D710" s="12"/>
      <c r="E710" s="12"/>
    </row>
    <row r="711">
      <c r="D711" s="12"/>
      <c r="E711" s="12"/>
    </row>
    <row r="712">
      <c r="D712" s="12"/>
      <c r="E712" s="12"/>
    </row>
    <row r="713">
      <c r="D713" s="12"/>
      <c r="E713" s="12"/>
    </row>
    <row r="714">
      <c r="D714" s="12"/>
      <c r="E714" s="12"/>
    </row>
    <row r="715">
      <c r="D715" s="12"/>
      <c r="E715" s="12"/>
    </row>
    <row r="716">
      <c r="D716" s="12"/>
      <c r="E716" s="12"/>
    </row>
    <row r="717">
      <c r="D717" s="12"/>
      <c r="E717" s="12"/>
    </row>
    <row r="718">
      <c r="D718" s="12"/>
      <c r="E718" s="12"/>
    </row>
    <row r="719">
      <c r="D719" s="12"/>
      <c r="E719" s="12"/>
    </row>
    <row r="720">
      <c r="D720" s="12"/>
      <c r="E720" s="12"/>
    </row>
    <row r="721">
      <c r="D721" s="12"/>
      <c r="E721" s="12"/>
    </row>
    <row r="722">
      <c r="D722" s="12"/>
      <c r="E722" s="12"/>
    </row>
    <row r="723">
      <c r="D723" s="12"/>
      <c r="E723" s="12"/>
    </row>
    <row r="724">
      <c r="D724" s="12"/>
      <c r="E724" s="12"/>
    </row>
    <row r="725">
      <c r="D725" s="12"/>
      <c r="E725" s="12"/>
    </row>
    <row r="726">
      <c r="D726" s="12"/>
      <c r="E726" s="12"/>
    </row>
    <row r="727">
      <c r="D727" s="12"/>
      <c r="E727" s="12"/>
    </row>
    <row r="728">
      <c r="D728" s="12"/>
      <c r="E728" s="12"/>
    </row>
    <row r="729">
      <c r="D729" s="12"/>
      <c r="E729" s="12"/>
    </row>
    <row r="730">
      <c r="D730" s="12"/>
      <c r="E730" s="12"/>
    </row>
    <row r="731">
      <c r="D731" s="12"/>
      <c r="E731" s="12"/>
    </row>
    <row r="732">
      <c r="D732" s="12"/>
      <c r="E732" s="12"/>
    </row>
    <row r="733">
      <c r="D733" s="12"/>
      <c r="E733" s="12"/>
    </row>
    <row r="734">
      <c r="D734" s="12"/>
      <c r="E734" s="12"/>
    </row>
    <row r="735">
      <c r="D735" s="12"/>
      <c r="E735" s="12"/>
    </row>
    <row r="736">
      <c r="D736" s="12"/>
      <c r="E736" s="12"/>
    </row>
    <row r="737">
      <c r="D737" s="12"/>
      <c r="E737" s="12"/>
    </row>
    <row r="738">
      <c r="D738" s="12"/>
      <c r="E738" s="12"/>
    </row>
    <row r="739">
      <c r="D739" s="12"/>
      <c r="E739" s="12"/>
    </row>
    <row r="740">
      <c r="D740" s="12"/>
      <c r="E740" s="12"/>
    </row>
    <row r="741">
      <c r="D741" s="12"/>
      <c r="E741" s="12"/>
    </row>
    <row r="742">
      <c r="D742" s="12"/>
      <c r="E742" s="12"/>
    </row>
    <row r="743">
      <c r="D743" s="12"/>
      <c r="E743" s="12"/>
    </row>
    <row r="744">
      <c r="D744" s="12"/>
      <c r="E744" s="12"/>
    </row>
    <row r="745">
      <c r="D745" s="12"/>
      <c r="E745" s="12"/>
    </row>
    <row r="746">
      <c r="D746" s="12"/>
      <c r="E746" s="12"/>
    </row>
    <row r="747">
      <c r="D747" s="12"/>
      <c r="E747" s="12"/>
    </row>
    <row r="748">
      <c r="D748" s="12"/>
      <c r="E748" s="12"/>
    </row>
    <row r="749">
      <c r="D749" s="12"/>
      <c r="E749" s="12"/>
    </row>
    <row r="750">
      <c r="D750" s="12"/>
      <c r="E750" s="12"/>
    </row>
    <row r="751">
      <c r="D751" s="12"/>
      <c r="E751" s="12"/>
    </row>
    <row r="752">
      <c r="D752" s="12"/>
      <c r="E752" s="12"/>
    </row>
    <row r="753">
      <c r="D753" s="12"/>
      <c r="E753" s="12"/>
    </row>
    <row r="754">
      <c r="D754" s="12"/>
      <c r="E754" s="12"/>
    </row>
    <row r="755">
      <c r="D755" s="12"/>
      <c r="E755" s="12"/>
    </row>
    <row r="756">
      <c r="D756" s="12"/>
      <c r="E756" s="12"/>
    </row>
    <row r="757">
      <c r="D757" s="12"/>
      <c r="E757" s="12"/>
    </row>
    <row r="758">
      <c r="D758" s="12"/>
      <c r="E758" s="12"/>
    </row>
    <row r="759">
      <c r="D759" s="12"/>
      <c r="E759" s="12"/>
    </row>
    <row r="760">
      <c r="D760" s="12"/>
      <c r="E760" s="12"/>
    </row>
    <row r="761">
      <c r="D761" s="12"/>
      <c r="E761" s="12"/>
    </row>
    <row r="762">
      <c r="D762" s="12"/>
      <c r="E762" s="12"/>
    </row>
    <row r="763">
      <c r="D763" s="12"/>
      <c r="E763" s="12"/>
    </row>
    <row r="764">
      <c r="D764" s="12"/>
      <c r="E764" s="12"/>
    </row>
    <row r="765">
      <c r="D765" s="12"/>
      <c r="E765" s="12"/>
    </row>
    <row r="766">
      <c r="D766" s="12"/>
      <c r="E766" s="12"/>
    </row>
    <row r="767">
      <c r="D767" s="12"/>
      <c r="E767" s="12"/>
    </row>
    <row r="768">
      <c r="D768" s="12"/>
      <c r="E768" s="12"/>
    </row>
    <row r="769">
      <c r="D769" s="12"/>
      <c r="E769" s="12"/>
    </row>
    <row r="770">
      <c r="D770" s="12"/>
      <c r="E770" s="12"/>
    </row>
    <row r="771">
      <c r="D771" s="12"/>
      <c r="E771" s="12"/>
    </row>
    <row r="772">
      <c r="D772" s="12"/>
      <c r="E772" s="12"/>
    </row>
    <row r="773">
      <c r="D773" s="12"/>
      <c r="E773" s="12"/>
    </row>
    <row r="774">
      <c r="D774" s="12"/>
      <c r="E774" s="12"/>
    </row>
    <row r="775">
      <c r="D775" s="12"/>
      <c r="E775" s="12"/>
    </row>
    <row r="776">
      <c r="D776" s="12"/>
      <c r="E776" s="12"/>
    </row>
    <row r="777">
      <c r="D777" s="12"/>
      <c r="E777" s="12"/>
    </row>
    <row r="778">
      <c r="D778" s="12"/>
      <c r="E778" s="12"/>
    </row>
    <row r="779">
      <c r="D779" s="12"/>
      <c r="E779" s="12"/>
    </row>
    <row r="780">
      <c r="D780" s="12"/>
      <c r="E780" s="12"/>
    </row>
    <row r="781">
      <c r="D781" s="12"/>
      <c r="E781" s="12"/>
    </row>
    <row r="782">
      <c r="D782" s="12"/>
      <c r="E782" s="12"/>
    </row>
    <row r="783">
      <c r="D783" s="12"/>
      <c r="E783" s="12"/>
    </row>
    <row r="784">
      <c r="D784" s="12"/>
      <c r="E784" s="12"/>
    </row>
    <row r="785">
      <c r="D785" s="12"/>
      <c r="E785" s="12"/>
    </row>
    <row r="786">
      <c r="D786" s="12"/>
      <c r="E786" s="12"/>
    </row>
    <row r="787">
      <c r="D787" s="12"/>
      <c r="E787" s="12"/>
    </row>
    <row r="788">
      <c r="D788" s="12"/>
      <c r="E788" s="12"/>
    </row>
    <row r="789">
      <c r="D789" s="12"/>
      <c r="E789" s="12"/>
    </row>
    <row r="790">
      <c r="D790" s="12"/>
      <c r="E790" s="12"/>
    </row>
    <row r="791">
      <c r="D791" s="12"/>
      <c r="E791" s="12"/>
    </row>
    <row r="792">
      <c r="D792" s="12"/>
      <c r="E792" s="12"/>
    </row>
    <row r="793">
      <c r="D793" s="12"/>
      <c r="E793" s="12"/>
    </row>
    <row r="794">
      <c r="D794" s="12"/>
      <c r="E794" s="12"/>
    </row>
    <row r="795">
      <c r="D795" s="12"/>
      <c r="E795" s="12"/>
    </row>
    <row r="796">
      <c r="D796" s="12"/>
      <c r="E796" s="12"/>
    </row>
    <row r="797">
      <c r="D797" s="12"/>
      <c r="E797" s="12"/>
    </row>
    <row r="798">
      <c r="D798" s="12"/>
      <c r="E798" s="12"/>
    </row>
    <row r="799">
      <c r="D799" s="12"/>
      <c r="E799" s="12"/>
    </row>
    <row r="800">
      <c r="D800" s="12"/>
      <c r="E800" s="12"/>
    </row>
    <row r="801">
      <c r="D801" s="12"/>
      <c r="E801" s="12"/>
    </row>
    <row r="802">
      <c r="D802" s="12"/>
      <c r="E802" s="12"/>
    </row>
    <row r="803">
      <c r="D803" s="12"/>
      <c r="E803" s="12"/>
    </row>
    <row r="804">
      <c r="D804" s="12"/>
      <c r="E804" s="12"/>
    </row>
    <row r="805">
      <c r="D805" s="12"/>
      <c r="E805" s="12"/>
    </row>
    <row r="806">
      <c r="D806" s="12"/>
      <c r="E806" s="12"/>
    </row>
    <row r="807">
      <c r="D807" s="12"/>
      <c r="E807" s="12"/>
    </row>
    <row r="808">
      <c r="D808" s="12"/>
      <c r="E808" s="12"/>
    </row>
    <row r="809">
      <c r="D809" s="12"/>
      <c r="E809" s="12"/>
    </row>
    <row r="810">
      <c r="D810" s="12"/>
      <c r="E810" s="12"/>
    </row>
    <row r="811">
      <c r="D811" s="12"/>
      <c r="E811" s="12"/>
    </row>
    <row r="812">
      <c r="D812" s="12"/>
      <c r="E812" s="12"/>
    </row>
    <row r="813">
      <c r="D813" s="12"/>
      <c r="E813" s="12"/>
    </row>
    <row r="814">
      <c r="D814" s="12"/>
      <c r="E814" s="12"/>
    </row>
    <row r="815">
      <c r="D815" s="12"/>
      <c r="E815" s="12"/>
    </row>
    <row r="816">
      <c r="D816" s="12"/>
      <c r="E816" s="12"/>
    </row>
    <row r="817">
      <c r="D817" s="12"/>
      <c r="E817" s="12"/>
    </row>
    <row r="818">
      <c r="D818" s="12"/>
      <c r="E818" s="12"/>
    </row>
    <row r="819">
      <c r="D819" s="12"/>
      <c r="E819" s="12"/>
    </row>
    <row r="820">
      <c r="D820" s="12"/>
      <c r="E820" s="12"/>
    </row>
    <row r="821">
      <c r="D821" s="12"/>
      <c r="E821" s="12"/>
    </row>
    <row r="822">
      <c r="D822" s="12"/>
      <c r="E822" s="12"/>
    </row>
    <row r="823">
      <c r="D823" s="12"/>
      <c r="E823" s="12"/>
    </row>
    <row r="824">
      <c r="D824" s="12"/>
      <c r="E824" s="12"/>
    </row>
    <row r="825">
      <c r="D825" s="12"/>
      <c r="E825" s="12"/>
    </row>
    <row r="826">
      <c r="D826" s="12"/>
      <c r="E826" s="12"/>
    </row>
    <row r="827">
      <c r="D827" s="12"/>
      <c r="E827" s="12"/>
    </row>
    <row r="828">
      <c r="D828" s="12"/>
      <c r="E828" s="12"/>
    </row>
    <row r="829">
      <c r="D829" s="12"/>
      <c r="E829" s="12"/>
    </row>
    <row r="830">
      <c r="D830" s="12"/>
      <c r="E830" s="12"/>
    </row>
    <row r="831">
      <c r="D831" s="12"/>
      <c r="E831" s="12"/>
    </row>
    <row r="832">
      <c r="D832" s="12"/>
      <c r="E832" s="12"/>
    </row>
    <row r="833">
      <c r="D833" s="12"/>
      <c r="E833" s="12"/>
    </row>
    <row r="834">
      <c r="D834" s="12"/>
      <c r="E834" s="12"/>
    </row>
    <row r="835">
      <c r="D835" s="12"/>
      <c r="E835" s="12"/>
    </row>
    <row r="836">
      <c r="D836" s="12"/>
      <c r="E836" s="12"/>
    </row>
    <row r="837">
      <c r="D837" s="12"/>
      <c r="E837" s="12"/>
    </row>
    <row r="838">
      <c r="D838" s="12"/>
      <c r="E838" s="12"/>
    </row>
    <row r="839">
      <c r="D839" s="12"/>
      <c r="E839" s="12"/>
    </row>
    <row r="840">
      <c r="D840" s="12"/>
      <c r="E840" s="12"/>
    </row>
    <row r="841">
      <c r="D841" s="12"/>
      <c r="E841" s="12"/>
    </row>
    <row r="842">
      <c r="D842" s="12"/>
      <c r="E842" s="12"/>
    </row>
    <row r="843">
      <c r="D843" s="12"/>
      <c r="E843" s="12"/>
    </row>
    <row r="844">
      <c r="D844" s="12"/>
      <c r="E844" s="12"/>
    </row>
    <row r="845">
      <c r="D845" s="12"/>
      <c r="E845" s="12"/>
    </row>
    <row r="846">
      <c r="D846" s="12"/>
      <c r="E846" s="12"/>
    </row>
    <row r="847">
      <c r="D847" s="12"/>
      <c r="E847" s="12"/>
    </row>
    <row r="848">
      <c r="D848" s="12"/>
      <c r="E848" s="12"/>
    </row>
    <row r="849">
      <c r="D849" s="12"/>
      <c r="E849" s="12"/>
    </row>
    <row r="850">
      <c r="D850" s="12"/>
      <c r="E850" s="12"/>
    </row>
    <row r="851">
      <c r="D851" s="12"/>
      <c r="E851" s="12"/>
    </row>
    <row r="852">
      <c r="D852" s="12"/>
      <c r="E852" s="12"/>
    </row>
    <row r="853">
      <c r="D853" s="12"/>
      <c r="E853" s="12"/>
    </row>
    <row r="854">
      <c r="D854" s="12"/>
      <c r="E854" s="12"/>
    </row>
    <row r="855">
      <c r="D855" s="12"/>
      <c r="E855" s="12"/>
    </row>
    <row r="856">
      <c r="D856" s="12"/>
      <c r="E856" s="12"/>
    </row>
    <row r="857">
      <c r="D857" s="12"/>
      <c r="E857" s="12"/>
    </row>
    <row r="858">
      <c r="D858" s="12"/>
      <c r="E858" s="12"/>
    </row>
    <row r="859">
      <c r="D859" s="12"/>
      <c r="E859" s="12"/>
    </row>
    <row r="860">
      <c r="D860" s="12"/>
      <c r="E860" s="12"/>
    </row>
    <row r="861">
      <c r="D861" s="12"/>
      <c r="E861" s="12"/>
    </row>
    <row r="862">
      <c r="D862" s="12"/>
      <c r="E862" s="12"/>
    </row>
    <row r="863">
      <c r="D863" s="12"/>
      <c r="E863" s="12"/>
    </row>
    <row r="864">
      <c r="D864" s="12"/>
      <c r="E864" s="12"/>
    </row>
    <row r="865">
      <c r="D865" s="12"/>
      <c r="E865" s="12"/>
    </row>
    <row r="866">
      <c r="D866" s="12"/>
      <c r="E866" s="12"/>
    </row>
    <row r="867">
      <c r="D867" s="12"/>
      <c r="E867" s="12"/>
    </row>
    <row r="868">
      <c r="D868" s="12"/>
      <c r="E868" s="12"/>
    </row>
    <row r="869">
      <c r="D869" s="12"/>
      <c r="E869" s="12"/>
    </row>
    <row r="870">
      <c r="D870" s="12"/>
      <c r="E870" s="12"/>
    </row>
    <row r="871">
      <c r="D871" s="12"/>
      <c r="E871" s="12"/>
    </row>
    <row r="872">
      <c r="D872" s="12"/>
      <c r="E872" s="12"/>
    </row>
    <row r="873">
      <c r="D873" s="12"/>
      <c r="E873" s="12"/>
    </row>
    <row r="874">
      <c r="D874" s="12"/>
      <c r="E874" s="12"/>
    </row>
    <row r="875">
      <c r="D875" s="12"/>
      <c r="E875" s="12"/>
    </row>
    <row r="876">
      <c r="D876" s="12"/>
      <c r="E876" s="12"/>
    </row>
    <row r="877">
      <c r="D877" s="12"/>
      <c r="E877" s="12"/>
    </row>
    <row r="878">
      <c r="D878" s="12"/>
      <c r="E878" s="12"/>
    </row>
    <row r="879">
      <c r="D879" s="12"/>
      <c r="E879" s="12"/>
    </row>
    <row r="880">
      <c r="D880" s="12"/>
      <c r="E880" s="12"/>
    </row>
    <row r="881">
      <c r="D881" s="12"/>
      <c r="E881" s="12"/>
    </row>
    <row r="882">
      <c r="D882" s="12"/>
      <c r="E882" s="12"/>
    </row>
    <row r="883">
      <c r="D883" s="12"/>
      <c r="E883" s="12"/>
    </row>
    <row r="884">
      <c r="D884" s="12"/>
      <c r="E884" s="12"/>
    </row>
    <row r="885">
      <c r="D885" s="12"/>
      <c r="E885" s="12"/>
    </row>
    <row r="886">
      <c r="D886" s="12"/>
      <c r="E886" s="12"/>
    </row>
    <row r="887">
      <c r="D887" s="12"/>
      <c r="E887" s="12"/>
    </row>
    <row r="888">
      <c r="D888" s="12"/>
      <c r="E888" s="12"/>
    </row>
    <row r="889">
      <c r="D889" s="12"/>
      <c r="E889" s="12"/>
    </row>
    <row r="890">
      <c r="D890" s="12"/>
      <c r="E890" s="12"/>
    </row>
    <row r="891">
      <c r="D891" s="12"/>
      <c r="E891" s="12"/>
    </row>
    <row r="892">
      <c r="D892" s="12"/>
      <c r="E892" s="12"/>
    </row>
    <row r="893">
      <c r="D893" s="12"/>
      <c r="E893" s="12"/>
    </row>
    <row r="894">
      <c r="D894" s="12"/>
      <c r="E894" s="12"/>
    </row>
    <row r="895">
      <c r="D895" s="12"/>
      <c r="E895" s="12"/>
    </row>
    <row r="896">
      <c r="D896" s="12"/>
      <c r="E896" s="12"/>
    </row>
    <row r="897">
      <c r="D897" s="12"/>
      <c r="E897" s="12"/>
    </row>
    <row r="898">
      <c r="D898" s="12"/>
      <c r="E898" s="12"/>
    </row>
    <row r="899">
      <c r="D899" s="12"/>
      <c r="E899" s="12"/>
    </row>
    <row r="900">
      <c r="D900" s="12"/>
      <c r="E900" s="12"/>
    </row>
    <row r="901">
      <c r="D901" s="12"/>
      <c r="E901" s="12"/>
    </row>
    <row r="902">
      <c r="D902" s="12"/>
      <c r="E902" s="12"/>
    </row>
    <row r="903">
      <c r="D903" s="12"/>
      <c r="E903" s="12"/>
    </row>
    <row r="904">
      <c r="D904" s="12"/>
      <c r="E904" s="12"/>
    </row>
    <row r="905">
      <c r="D905" s="12"/>
      <c r="E905" s="12"/>
    </row>
    <row r="906">
      <c r="D906" s="12"/>
      <c r="E906" s="12"/>
    </row>
    <row r="907">
      <c r="D907" s="12"/>
      <c r="E907" s="12"/>
    </row>
    <row r="908">
      <c r="D908" s="12"/>
      <c r="E908" s="12"/>
    </row>
    <row r="909">
      <c r="D909" s="12"/>
      <c r="E909" s="12"/>
    </row>
    <row r="910">
      <c r="D910" s="12"/>
      <c r="E910" s="12"/>
    </row>
    <row r="911">
      <c r="D911" s="12"/>
      <c r="E911" s="12"/>
    </row>
    <row r="912">
      <c r="D912" s="12"/>
      <c r="E912" s="12"/>
    </row>
    <row r="913">
      <c r="D913" s="12"/>
      <c r="E913" s="12"/>
    </row>
    <row r="914">
      <c r="D914" s="12"/>
      <c r="E914" s="12"/>
    </row>
    <row r="915">
      <c r="D915" s="12"/>
      <c r="E915" s="12"/>
    </row>
    <row r="916">
      <c r="D916" s="12"/>
      <c r="E916" s="12"/>
    </row>
    <row r="917">
      <c r="D917" s="12"/>
      <c r="E917" s="12"/>
    </row>
    <row r="918">
      <c r="D918" s="12"/>
      <c r="E918" s="12"/>
    </row>
    <row r="919">
      <c r="D919" s="12"/>
      <c r="E919" s="12"/>
    </row>
    <row r="920">
      <c r="D920" s="12"/>
      <c r="E920" s="12"/>
    </row>
    <row r="921">
      <c r="D921" s="12"/>
      <c r="E921" s="12"/>
    </row>
    <row r="922">
      <c r="D922" s="12"/>
      <c r="E922" s="12"/>
    </row>
    <row r="923">
      <c r="D923" s="12"/>
      <c r="E923" s="12"/>
    </row>
    <row r="924">
      <c r="D924" s="12"/>
      <c r="E924" s="12"/>
    </row>
    <row r="925">
      <c r="D925" s="12"/>
      <c r="E925" s="12"/>
    </row>
    <row r="926">
      <c r="D926" s="12"/>
      <c r="E926" s="12"/>
    </row>
    <row r="927">
      <c r="D927" s="12"/>
      <c r="E927" s="12"/>
    </row>
    <row r="928">
      <c r="D928" s="12"/>
      <c r="E928" s="12"/>
    </row>
    <row r="929">
      <c r="D929" s="12"/>
      <c r="E929" s="12"/>
    </row>
    <row r="930">
      <c r="D930" s="12"/>
      <c r="E930" s="12"/>
    </row>
    <row r="931">
      <c r="D931" s="12"/>
      <c r="E931" s="12"/>
    </row>
    <row r="932">
      <c r="D932" s="12"/>
      <c r="E932" s="12"/>
    </row>
    <row r="933">
      <c r="D933" s="12"/>
      <c r="E933" s="12"/>
    </row>
    <row r="934">
      <c r="D934" s="12"/>
      <c r="E934" s="12"/>
    </row>
    <row r="935">
      <c r="D935" s="12"/>
      <c r="E935" s="12"/>
    </row>
    <row r="936">
      <c r="D936" s="12"/>
      <c r="E936" s="12"/>
    </row>
    <row r="937">
      <c r="D937" s="12"/>
      <c r="E937" s="12"/>
    </row>
    <row r="938">
      <c r="D938" s="12"/>
      <c r="E938" s="12"/>
    </row>
    <row r="939">
      <c r="D939" s="12"/>
      <c r="E939" s="12"/>
    </row>
    <row r="940">
      <c r="D940" s="12"/>
      <c r="E940" s="12"/>
    </row>
    <row r="941">
      <c r="D941" s="12"/>
      <c r="E941" s="12"/>
    </row>
    <row r="942">
      <c r="D942" s="12"/>
      <c r="E942" s="12"/>
    </row>
    <row r="943">
      <c r="D943" s="12"/>
      <c r="E943" s="12"/>
    </row>
    <row r="944">
      <c r="D944" s="12"/>
      <c r="E944" s="12"/>
    </row>
    <row r="945">
      <c r="D945" s="12"/>
      <c r="E945" s="12"/>
    </row>
    <row r="946">
      <c r="D946" s="12"/>
      <c r="E946" s="12"/>
    </row>
    <row r="947">
      <c r="D947" s="12"/>
      <c r="E947" s="12"/>
    </row>
    <row r="948">
      <c r="D948" s="12"/>
      <c r="E948" s="12"/>
    </row>
    <row r="949">
      <c r="D949" s="12"/>
      <c r="E949" s="12"/>
    </row>
    <row r="950">
      <c r="D950" s="12"/>
      <c r="E950" s="12"/>
    </row>
    <row r="951">
      <c r="D951" s="12"/>
      <c r="E951" s="12"/>
    </row>
    <row r="952">
      <c r="D952" s="12"/>
      <c r="E952" s="12"/>
    </row>
    <row r="953">
      <c r="D953" s="12"/>
      <c r="E953" s="12"/>
    </row>
    <row r="954">
      <c r="D954" s="12"/>
      <c r="E954" s="12"/>
    </row>
    <row r="955">
      <c r="D955" s="12"/>
      <c r="E955" s="12"/>
    </row>
    <row r="956">
      <c r="D956" s="12"/>
      <c r="E956" s="12"/>
    </row>
    <row r="957">
      <c r="D957" s="12"/>
      <c r="E957" s="12"/>
    </row>
    <row r="958">
      <c r="D958" s="12"/>
      <c r="E958" s="12"/>
    </row>
    <row r="959">
      <c r="D959" s="12"/>
      <c r="E959" s="12"/>
    </row>
    <row r="960">
      <c r="D960" s="12"/>
      <c r="E960" s="12"/>
    </row>
    <row r="961">
      <c r="D961" s="12"/>
      <c r="E961" s="12"/>
    </row>
    <row r="962">
      <c r="D962" s="12"/>
      <c r="E962" s="12"/>
    </row>
    <row r="963">
      <c r="D963" s="12"/>
      <c r="E963" s="12"/>
    </row>
    <row r="964">
      <c r="D964" s="12"/>
      <c r="E964" s="12"/>
    </row>
    <row r="965">
      <c r="D965" s="12"/>
      <c r="E965" s="12"/>
    </row>
    <row r="966">
      <c r="D966" s="12"/>
      <c r="E966" s="12"/>
    </row>
    <row r="967">
      <c r="D967" s="12"/>
      <c r="E967" s="12"/>
    </row>
    <row r="968">
      <c r="D968" s="12"/>
      <c r="E968" s="12"/>
    </row>
    <row r="969">
      <c r="D969" s="12"/>
      <c r="E969" s="12"/>
    </row>
    <row r="970">
      <c r="D970" s="12"/>
      <c r="E970" s="12"/>
    </row>
    <row r="971">
      <c r="D971" s="12"/>
      <c r="E971" s="12"/>
    </row>
    <row r="972">
      <c r="D972" s="12"/>
      <c r="E972" s="12"/>
    </row>
    <row r="973">
      <c r="D973" s="12"/>
      <c r="E973" s="12"/>
    </row>
    <row r="974">
      <c r="D974" s="12"/>
      <c r="E974" s="12"/>
    </row>
    <row r="975">
      <c r="D975" s="12"/>
      <c r="E975" s="12"/>
    </row>
    <row r="976">
      <c r="D976" s="12"/>
      <c r="E976" s="12"/>
    </row>
    <row r="977">
      <c r="D977" s="12"/>
      <c r="E977" s="12"/>
    </row>
    <row r="978">
      <c r="D978" s="12"/>
      <c r="E978" s="12"/>
    </row>
    <row r="979">
      <c r="D979" s="12"/>
      <c r="E979" s="12"/>
    </row>
    <row r="980">
      <c r="D980" s="12"/>
      <c r="E980" s="12"/>
    </row>
    <row r="981">
      <c r="D981" s="12"/>
      <c r="E981" s="12"/>
    </row>
    <row r="982">
      <c r="D982" s="12"/>
      <c r="E982" s="12"/>
    </row>
    <row r="983">
      <c r="D983" s="12"/>
      <c r="E983" s="12"/>
    </row>
    <row r="984">
      <c r="D984" s="12"/>
      <c r="E984" s="12"/>
    </row>
    <row r="985">
      <c r="D985" s="12"/>
      <c r="E985" s="12"/>
    </row>
    <row r="986">
      <c r="D986" s="12"/>
      <c r="E986" s="12"/>
    </row>
    <row r="987">
      <c r="D987" s="12"/>
      <c r="E987" s="12"/>
    </row>
    <row r="988">
      <c r="D988" s="12"/>
      <c r="E988" s="12"/>
    </row>
    <row r="989">
      <c r="D989" s="12"/>
      <c r="E989" s="12"/>
    </row>
    <row r="990">
      <c r="D990" s="12"/>
      <c r="E990" s="12"/>
    </row>
    <row r="991">
      <c r="D991" s="12"/>
      <c r="E991" s="12"/>
    </row>
    <row r="992">
      <c r="D992" s="12"/>
      <c r="E992" s="12"/>
    </row>
    <row r="993">
      <c r="D993" s="12"/>
      <c r="E993" s="12"/>
    </row>
    <row r="994">
      <c r="D994" s="12"/>
      <c r="E994" s="12"/>
    </row>
    <row r="995">
      <c r="D995" s="12"/>
      <c r="E995" s="12"/>
    </row>
    <row r="996">
      <c r="D996" s="12"/>
      <c r="E996" s="12"/>
    </row>
    <row r="997">
      <c r="D997" s="12"/>
      <c r="E997" s="12"/>
    </row>
    <row r="998">
      <c r="D998" s="12"/>
      <c r="E998" s="12"/>
    </row>
    <row r="999">
      <c r="D999" s="12"/>
      <c r="E999" s="12"/>
    </row>
    <row r="1000">
      <c r="D1000" s="12"/>
      <c r="E1000" s="12"/>
    </row>
  </sheetData>
  <mergeCells count="1">
    <mergeCell ref="A1:B1"/>
  </mergeCells>
  <drawing r:id="rId1"/>
</worksheet>
</file>